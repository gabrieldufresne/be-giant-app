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Decisions" sheetId="2" r:id="rId6"/>
    <sheet state="visible" name="Timeline" sheetId="3" r:id="rId7"/>
    <sheet state="visible" name="KPIs" sheetId="4" r:id="rId8"/>
  </sheets>
  <definedNames>
    <definedName hidden="1" localSheetId="1" name="_xlnm._FilterDatabase">Decisions!$A$1:$K$33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Turns red when a decision is 7 days or less from its deadline and still open.</t>
      </text>
    </comment>
  </commentList>
</comments>
</file>

<file path=xl/sharedStrings.xml><?xml version="1.0" encoding="utf-8"?>
<sst xmlns="http://schemas.openxmlformats.org/spreadsheetml/2006/main" count="447" uniqueCount="295">
  <si>
    <t>Timeline and phase gates</t>
  </si>
  <si>
    <t>ID</t>
  </si>
  <si>
    <t>Be Giant App · Decision roadmap</t>
  </si>
  <si>
    <t>KPI</t>
  </si>
  <si>
    <t>Target launch (app live in both stores)</t>
  </si>
  <si>
    <t>Tier</t>
  </si>
  <si>
    <t>Area</t>
  </si>
  <si>
    <t>Decision</t>
  </si>
  <si>
    <t>Who it's for</t>
  </si>
  <si>
    <t>What it affects</t>
  </si>
  <si>
    <t>Options</t>
  </si>
  <si>
    <t>Our recommendation</t>
  </si>
  <si>
    <t>What it tells us</t>
  </si>
  <si>
    <t>How it's measured</t>
  </si>
  <si>
    <t>Tracking needs</t>
  </si>
  <si>
    <t>Read at</t>
  </si>
  <si>
    <t>How we set the target</t>
  </si>
  <si>
    <t>Deadline</t>
  </si>
  <si>
    <t>Target</t>
  </si>
  <si>
    <t>Status</t>
  </si>
  <si>
    <t>Giant's decision and notes</t>
  </si>
  <si>
    <t>30-day return</t>
  </si>
  <si>
    <t>Gate</t>
  </si>
  <si>
    <t>D02</t>
  </si>
  <si>
    <t>Change this date and every gate and deadline updates. Proposed: two weeks before the January campaign.</t>
  </si>
  <si>
    <t>Whether Giant becomes part of a reader's routine. The headline V1 measure.</t>
  </si>
  <si>
    <t>National campaign start</t>
  </si>
  <si>
    <t>Share of readers who open the app again within 30 days of their first open, by weekly install group.</t>
  </si>
  <si>
    <t>Anonymous device ID (see the privacy decision)</t>
  </si>
  <si>
    <t>30-day review, then monthly</t>
  </si>
  <si>
    <t>Baseline from the first two weeks of installs</t>
  </si>
  <si>
    <t>Set at 30-day review</t>
  </si>
  <si>
    <t>Return frequency</t>
  </si>
  <si>
    <t>How often the habit fires.</t>
  </si>
  <si>
    <t>Average number of days a week an active reader opens the app.</t>
  </si>
  <si>
    <t>Anonymous device ID</t>
  </si>
  <si>
    <t>Weekly</t>
  </si>
  <si>
    <t>Baseline from the first month</t>
  </si>
  <si>
    <t>Notification opt-in</t>
  </si>
  <si>
    <t>Whether the named-alerts screen earns permission.</t>
  </si>
  <si>
    <t>August Strategy × Field Office · Prepared September 23, 2026</t>
  </si>
  <si>
    <t>Share of readers finishing onboarding who allow notifications. Reported separately for iOS and Android, since Android 12 and older allow notifications by default.</t>
  </si>
  <si>
    <t>Permission status only</t>
  </si>
  <si>
    <t>Weekly for the first month</t>
  </si>
  <si>
    <t>Saves and follows per active reader</t>
  </si>
  <si>
    <t>Whether readers are building something worth coming back to.</t>
  </si>
  <si>
    <t>Saves plus follows per active reader per week.</t>
  </si>
  <si>
    <t>Design Decision Blocker</t>
  </si>
  <si>
    <t>Counts need nothing extra; per-reader detail needs an account</t>
  </si>
  <si>
    <t>How this works</t>
  </si>
  <si>
    <t>Long-form completion</t>
  </si>
  <si>
    <t>Whether the reading experience holds attention.</t>
  </si>
  <si>
    <t>Share of opens on pieces over 8 minutes (editable) that reach the end of the article.</t>
  </si>
  <si>
    <t>None</t>
  </si>
  <si>
    <t>Compare with web completion for the same pieces</t>
  </si>
  <si>
    <t>Account creation at first save</t>
  </si>
  <si>
    <t>Whether asking at the first save works.</t>
  </si>
  <si>
    <t>Navigation</t>
  </si>
  <si>
    <t>Share of first-save prompts that end in a new account.</t>
  </si>
  <si>
    <t>Account</t>
  </si>
  <si>
    <t>Which two navigation models go forward to wireflows?</t>
  </si>
  <si>
    <t>Onboarding completion</t>
  </si>
  <si>
    <t>Each row on the Decisions tab is one decision. We've made a recommendation on every row, so your job is to confirm it or tell us what you'd change.</t>
  </si>
  <si>
    <t>Where onboarding loses readers.</t>
  </si>
  <si>
    <t>Share of first opens that finish onboarding, with drop-off at each step.</t>
  </si>
  <si>
    <t>Baseline from the first two weeks</t>
  </si>
  <si>
    <t>Crash-free sessions</t>
  </si>
  <si>
    <t>Stability, especially under campaign traffic. A guardrail, not a goal.</t>
  </si>
  <si>
    <t>Share of sessions without a crash, from Crashlytics.</t>
  </si>
  <si>
    <t>Daily at launch, then weekly</t>
  </si>
  <si>
    <t>Tier shows when a decision is needed. Decide now blocks the wireflows. Decide soon blocks design and development. Decide later covers launch and what follows.</t>
  </si>
  <si>
    <t>Industry standard for a stable app</t>
  </si>
  <si>
    <t>Above 99.5%</t>
  </si>
  <si>
    <t>#</t>
  </si>
  <si>
    <t>Installs</t>
  </si>
  <si>
    <t>Reach of the campaign and store listing. Context only: V1 is judged on retention.</t>
  </si>
  <si>
    <t>Installs from the App Store and Google Play consoles.</t>
  </si>
  <si>
    <t>Deadlines come from the Timeline tab. Change the launch date there and every deadline updates.</t>
  </si>
  <si>
    <t>Not a target</t>
  </si>
  <si>
    <t>Tracked only</t>
  </si>
  <si>
    <t>Days from launch</t>
  </si>
  <si>
    <t>Date</t>
  </si>
  <si>
    <t>What's done by this date</t>
  </si>
  <si>
    <t>Owner</t>
  </si>
  <si>
    <t>Be Giant</t>
  </si>
  <si>
    <t>Phase I answers</t>
  </si>
  <si>
    <t>The entire app structure and every flow.</t>
  </si>
  <si>
    <t>Decide now</t>
  </si>
  <si>
    <t>1) Home / Explore &amp; Search / Video / Saved
2) For You / Explore &amp; Search / Video / Profile
3) Read / Watch, everything else in a menu
4) Featured / For You / Explore &amp; Search / Saved</t>
  </si>
  <si>
    <t>Models 1 and 3. Model 1 is our lead. Video stays in its rail only if the video decision lands on a weekly commitment; otherwise the rail is Home / Explore &amp; Search / Saved. In every model, the account sits as an avatar in the top bar.
Why: Saves are a V1 success measure, so Saved belongs in the rail, and Model 1 keeps it one tap away.</t>
  </si>
  <si>
    <t>To respond, set the Status and add anything in Giant's decision and notes. Those are the cream columns. Use cell comments for discussion.</t>
  </si>
  <si>
    <t>Example: Status set to Changed, with the note: Go with Model 4 instead, leadership wants For You tested in wireflows.</t>
  </si>
  <si>
    <t>Filter any column from the header row, for example by Who it's for to see only what Be Giant needs to decide.</t>
  </si>
  <si>
    <t>Where things stand</t>
  </si>
  <si>
    <t>Giant returns answers to the Phase I questions and the decisions tagged to this gate.</t>
  </si>
  <si>
    <t>Giant</t>
  </si>
  <si>
    <t>Wireflow sign-off</t>
  </si>
  <si>
    <t>Navigation, core flows and onboarding approved. Phase I complete. Field Office starts groundwork: project setup, Sanity connection, accounts.</t>
  </si>
  <si>
    <t>Prajakta approves</t>
  </si>
  <si>
    <t>Content model freeze</t>
  </si>
  <si>
    <t>Total</t>
  </si>
  <si>
    <t>Decide soon</t>
  </si>
  <si>
    <t>Awaiting Giant</t>
  </si>
  <si>
    <t>In discussion</t>
  </si>
  <si>
    <t>Confirmed</t>
  </si>
  <si>
    <t>Changed</t>
  </si>
  <si>
    <t>Sanity fields, privacy baseline and tools confirmed. Full development starts on the shared codebase.</t>
  </si>
  <si>
    <t>Giant + Field Office</t>
  </si>
  <si>
    <t>Deferred</t>
  </si>
  <si>
    <t>Design sign-off</t>
  </si>
  <si>
    <t>High-fidelity screens and the app design system approved for both platforms. Phase II complete.</t>
  </si>
  <si>
    <t>Feature complete</t>
  </si>
  <si>
    <t>Decide later</t>
  </si>
  <si>
    <t>Every V1 feature built. Beta opens on TestFlight and Google Play internal testing.</t>
  </si>
  <si>
    <t>Field Office</t>
  </si>
  <si>
    <t>Store submission</t>
  </si>
  <si>
    <t>Both apps submitted for review with release held. Leaves room for a rejection and resubmission before the holidays.</t>
  </si>
  <si>
    <t>Field Office + Giant</t>
  </si>
  <si>
    <t>Launch</t>
  </si>
  <si>
    <t>App live in both stores, at least two weeks before the national campaign.</t>
  </si>
  <si>
    <t>30-day review</t>
  </si>
  <si>
    <t>D03</t>
  </si>
  <si>
    <t>Home &amp; feeds</t>
  </si>
  <si>
    <t>Should there be a separate For You feed next to a Home feed sorted by latest?</t>
  </si>
  <si>
    <t>First read of the KPIs. Set targets, and decide on a For You feed and the Video tab.</t>
  </si>
  <si>
    <t>Giant + August</t>
  </si>
  <si>
    <t>V1.1 planning</t>
  </si>
  <si>
    <t>Home design, the navigation rail, personalization build.</t>
  </si>
  <si>
    <t>A) Two feeds: Home (latest) and For You.
B) One Home either with a "for you" toggle or always curated.</t>
  </si>
  <si>
    <t>Either is valid, we can present both in the design phase.</t>
  </si>
  <si>
    <t>Scope V1.1: listen, Atlas map, home screen widget, Video tab if ready.</t>
  </si>
  <si>
    <t>Blue numbers are editable offsets in days from launch. Dates are proposed by August Strategy and assume Giant answers the Phase I questions by the first gate.</t>
  </si>
  <si>
    <t>D05</t>
  </si>
  <si>
    <t>Series &amp; pillars</t>
  </si>
  <si>
    <t>Confirm the app centres on single articles, with series and pillars working as tags.</t>
  </si>
  <si>
    <t>Explore structure, article end, links from the website.</t>
  </si>
  <si>
    <t>A) Tags only: pillars and series filter Explore and label stories.
B) A landing page for every pillar and series.
C) Pillars as the main navigation.</t>
  </si>
  <si>
    <t>A. Series articles end with Continue the series (2 of 6) and a next-story card. Links to series pages on begiant.ca open the matching filtered view in Explore.
Why: Readers come for stories, and the continue card still gives a series momentum.</t>
  </si>
  <si>
    <t>D06</t>
  </si>
  <si>
    <t>Video &amp; audio</t>
  </si>
  <si>
    <t>What role does video play in V1?</t>
  </si>
  <si>
    <t>The navigation rail, video production commitments, video hosting.</t>
  </si>
  <si>
    <t>A) A Video tab, with a path back to each written story.
B) Video inside the feed and articles only.
C) No video surface until after V1.</t>
  </si>
  <si>
    <t xml:space="preserve">A) The video feed is still our vision. 
The team does need to review the impact of the day-to-day workload. </t>
  </si>
  <si>
    <t>D08</t>
  </si>
  <si>
    <t>Explore &amp; search</t>
  </si>
  <si>
    <t>Should Search and Explore merge into one tab?</t>
  </si>
  <si>
    <t>Explore design, search build.</t>
  </si>
  <si>
    <t>A) One tab: search field at the top, browsing below.
B) Separate Search and Explore tabs.</t>
  </si>
  <si>
    <t>A. Explore opens with a search field. Below it: pillars, series, topics, trending and short stories. Search runs on the Typesense index the website already uses.
Why: One place to find anything keeps the rail short.</t>
  </si>
  <si>
    <t>D07</t>
  </si>
  <si>
    <t>Does a Listen tab launch with V1?</t>
  </si>
  <si>
    <t>The navigation rail, audio player build.</t>
  </si>
  <si>
    <t>A) Listen tab at launch.
B) Listen waits for the podcast's own launch.</t>
  </si>
  <si>
    <t>B. When the podcast launches, it becomes a Listen tab if episode volume supports one, or a section in Explore if it doesn't. The article toolbar keeps a spot for a listen control so audio slots in without a redesign.
Why: A Listen tab with no podcast behind it is an empty room, and building an audio player adds weeks the January date doesn't have.</t>
  </si>
  <si>
    <t>D09</t>
  </si>
  <si>
    <t>Onboarding &amp; accounts</t>
  </si>
  <si>
    <t>Which onboarding flow do we launch with?</t>
  </si>
  <si>
    <t>First-launch design, notification opt-in rate, account creation.</t>
  </si>
  <si>
    <t>A) Full: topics, notification preferences, account.
B) Straight to the feed, with a prompt after the first read.</t>
  </si>
  <si>
    <t xml:space="preserve">A. We thinking commiting to a full onboarding &amp; account creation at this stage will generate better analytics from the start. The users who download the app will already have high intent and we don't forsee major dropoff if the onboarding is lengthier. All steps are also skippable and can be adjusted in settings later. Language should make this clear. </t>
  </si>
  <si>
    <t>D10</t>
  </si>
  <si>
    <t>When do we ask a reader to create an account?</t>
  </si>
  <si>
    <t>Save flow, sync, sign-in build.</t>
  </si>
  <si>
    <t>A) During onboarding.
B) After a certain time or second open
C) At the first save or follow.</t>
  </si>
  <si>
    <t>A. During onboarding makes the most sense to us for the launch. Onboarding and user account prompting can be adjusted later if/when there is more data to suggest that the current onboarding is failing in some way.</t>
  </si>
  <si>
    <t>All decisions</t>
  </si>
  <si>
    <t>Status key</t>
  </si>
  <si>
    <t>D11</t>
  </si>
  <si>
    <t>Our recommendation is in, waiting on Giant.</t>
  </si>
  <si>
    <t>How novel should browsing feel: familiar or experimental?</t>
  </si>
  <si>
    <t>Being talked through, no call yet.</t>
  </si>
  <si>
    <t>Explore design, build time, testing.</t>
  </si>
  <si>
    <t>A) Familiar: the lists, cards and filters readers know from other news apps.
B) Experimental: new ways to browse, such as Deal (swipe through stories like cards) or Atlas (browse stories on a map of Canada).
C) Familiar at launch, with one experimental mode added after launch.</t>
  </si>
  <si>
    <t>C. Launch with familiar browsing, and test ideas likes Deal and Atlas with beta readers to pick the one worth building next. Start adding a location to stories in Sanity now so Atlas stays an option.
Why: New readers need to find their way on day one, and an experimental mode needs content and testing time January doesn't allow.</t>
  </si>
  <si>
    <t>Giant agrees with the recommendation.</t>
  </si>
  <si>
    <t>Giant chose differently. Note what in the notes column.</t>
  </si>
  <si>
    <t>Moved to a later gate on purpose.</t>
  </si>
  <si>
    <t>D13</t>
  </si>
  <si>
    <t>Content model (Sanity)</t>
  </si>
  <si>
    <t>What other Sanity fields does the app need?</t>
  </si>
  <si>
    <t>Field Office (devs)</t>
  </si>
  <si>
    <t>-</t>
  </si>
  <si>
    <t>A) Add everything in one pass before the build.
B) Add fields as features need them.</t>
  </si>
  <si>
    <t>B. Field Office recommends we get through the design and avoid adding new CMS fileds as much as possible to keep the backend lean</t>
  </si>
  <si>
    <t>D14</t>
  </si>
  <si>
    <t>Privacy &amp; data</t>
  </si>
  <si>
    <t>What can we track without sign-up or consent?</t>
  </si>
  <si>
    <t>Analytics setup, KPI measurement, store privacy forms.</t>
  </si>
  <si>
    <t>A) Aggregate first-party usage only.
B) Full per-reader analytics.
C) Nothing without consent.</t>
  </si>
  <si>
    <t>A, to confirm with counsel. App opens, screens viewed, article completions, saves and alert opens, counted in aggregate. No advertising identifiers, no sharing with third parties, no cross-app tracking, so no Apple tracking prompt. Per-reader history for personalization only with an account and consent.
Why: This covers every V1 KPI and keeps the app clear of Apple's tracking prompt, which most readers decline.</t>
  </si>
  <si>
    <t>Unless you get a user consent when creating an account or something to the effect that we'll be tracking more when logged in, I'd agree.</t>
  </si>
  <si>
    <t>D16</t>
  </si>
  <si>
    <t>Which sign-in methods do we offer?</t>
  </si>
  <si>
    <t>Account build, sign-in design.</t>
  </si>
  <si>
    <t>A) Sign in with Apple, Google, and an email link.
B) Email and password.
C) All of the above</t>
  </si>
  <si>
    <t>C, Ensures users can use their method of choice.</t>
  </si>
  <si>
    <t>D17</t>
  </si>
  <si>
    <t>What does an account hold, and how is it deleted?</t>
  </si>
  <si>
    <t>Account build, privacy policy.</t>
  </si>
  <si>
    <t>Requirement.</t>
  </si>
  <si>
    <t>An account holds: saves, follows, newsletter preferences, notification preferences and all personalization preferences chosen on the onboarding. Readers can delete their account from the Account screen.
Why: Both Apple and Google Play require in-app account deletion for apps that let people create accounts.</t>
  </si>
  <si>
    <t>D18</t>
  </si>
  <si>
    <t>Where is video hosted, and how does it play in the app?</t>
  </si>
  <si>
    <t>Video player build, cost.</t>
  </si>
  <si>
    <t>A) Mux, Already in use
B) YouTube/Tiktok embeds.</t>
  </si>
  <si>
    <t>A, if video stays in the feed for V1.</t>
  </si>
  <si>
    <t>D19</t>
  </si>
  <si>
    <t>Reading</t>
  </si>
  <si>
    <t>How does navigation behave on the article page?</t>
  </si>
  <si>
    <t>August (design/strategy)</t>
  </si>
  <si>
    <t>Article design, reading toolbar, gestures.</t>
  </si>
  <si>
    <t>A) Tab bar stays visible while reading.
B) Tab bar gives way to a reading toolbar.</t>
  </si>
  <si>
    <t>B. When an article opens, the tab bar slides away and a reading toolbar takes over: Aa (text size, light and dark), Save and Share, with back always visible. Both bars hide on scroll down and return on scroll up or tap. Readers swipe to the next article in the same feed.
Why: Long pieces get the full screen while the way out stays one gesture away.</t>
  </si>
  <si>
    <t>D20</t>
  </si>
  <si>
    <t>What style is the tab bar: docked with labels, floating icons only, or floating with labels?</t>
  </si>
  <si>
    <t>Visual design of the rail on both platforms.</t>
  </si>
  <si>
    <t>A) Docked with labels.
B) Floating, icons only.
C) Floating, with labels.</t>
  </si>
  <si>
    <t xml:space="preserve">TBD during the design phase. We do like pushing into the latest iOS guidelines with the floating approach. </t>
  </si>
  <si>
    <t>D21</t>
  </si>
  <si>
    <t>Notifications</t>
  </si>
  <si>
    <t>Who sends alerts day to day, and how are they scheduled?</t>
  </si>
  <si>
    <t>Notification build in Sanity, editorial workload, opt-in rate.</t>
  </si>
  <si>
    <t>A) Scheduled only.
B) Manual only.
C) Both.</t>
  </si>
  <si>
    <t>Depends on internal preferences. We would recommend limiting the notifications to 1 per day.</t>
  </si>
  <si>
    <t>D22</t>
  </si>
  <si>
    <t>What are the alert types readers choose from?</t>
  </si>
  <si>
    <t>Onboarding alerts screen, alert settings, Sanity alert tool.</t>
  </si>
  <si>
    <t>A) Three named types.
B) One on or off switch.
C) A longer list by topic.</t>
  </si>
  <si>
    <t>A. A daily edition alert, alerts for the topics, writers and series a reader follows, and occasional editor's picks. Final names come from editorial, in Giant's voice.
Why: The alerts screen before the system prompt only works if each type is clear and appealing.</t>
  </si>
  <si>
    <t>D23</t>
  </si>
  <si>
    <t>Can readers listen to articles (text to speech) in V1?</t>
  </si>
  <si>
    <t>Reading toolbar, audio pipeline, cost.</t>
  </si>
  <si>
    <t>A) V1 with built-in system voices.
B) V1.1 with natural-sounding voices generated for each article.
C) No</t>
  </si>
  <si>
    <t>C. Not in V1 for speed and simplicity and the ability to have more time to select the right tool and process. 
Why: Built-in system voices are free but sound robotic next to Giant's long-form writing.</t>
  </si>
  <si>
    <t>D24</t>
  </si>
  <si>
    <t>Can readers read without a connection?</t>
  </si>
  <si>
    <t>Saved build, storage.</t>
  </si>
  <si>
    <t>A) Saved articles available offline.
B) Everything online only.</t>
  </si>
  <si>
    <t xml:space="preserve">B. Offline reading is currently an add-on feature scheduled for post launch. If this changes, we can include it in V1.
</t>
  </si>
  <si>
    <t>D25</t>
  </si>
  <si>
    <t>Platform &amp; build</t>
  </si>
  <si>
    <t>How do links move between the website and the app?</t>
  </si>
  <si>
    <t>Sharing, website changes, Explore filters.</t>
  </si>
  <si>
    <t>A) Website links open in the app when installed; shares from the app are web links.
B) App-only links.</t>
  </si>
  <si>
    <t>A. begiant.ca links open in the app when it's installed, on both platforms. Anything shared from the app is a begiant.ca link, and the website shows a banner inviting readers to open the app.
Why: Most readers arrive through shared links, so opening them in the app builds the habit.</t>
  </si>
  <si>
    <t>D26</t>
  </si>
  <si>
    <t>What accessibility standard does the app meet?</t>
  </si>
  <si>
    <t>Every screen, testing.</t>
  </si>
  <si>
    <t>WCAG 2.1 AA, carried over from the website. Text follows the reader's system text size, the app works with VoiceOver and TalkBack, and dark mode follows the system with a manual choice in the Aa menu.
Why: The website already commits to this standard, and both stores and readers expect it.</t>
  </si>
  <si>
    <t>D27</t>
  </si>
  <si>
    <t>How does the newsletter show up in the app?</t>
  </si>
  <si>
    <t>Article end, Account screen, newsletter integration.</t>
  </si>
  <si>
    <t>A) Signup at article end and in Account.
B) No newsletter in the app.</t>
  </si>
  <si>
    <t>A. Signed-in readers subscribe in one tap, and the prompt hides for readers already subscribed where the newsletter tool allows it.
Why: The newsletter remains the main web growth measure, so the app supports it without asking twice.</t>
  </si>
  <si>
    <t>D28</t>
  </si>
  <si>
    <t>Stores &amp; launch</t>
  </si>
  <si>
    <t>What are the app name, icon and store listing?</t>
  </si>
  <si>
    <t>Store submission.</t>
  </si>
  <si>
    <t>A) Be Giant, in the News category.
B) Another name.</t>
  </si>
  <si>
    <t>A. August prepares the icon, screenshots and listing copy, and editorial approves the copy. Field Office checks the name is available on both stores now.
Why: Listing assets need lead time and must be ready at submission, and a taken name is better found in October than in December.</t>
  </si>
  <si>
    <t>D29</t>
  </si>
  <si>
    <t>Complete the App Store privacy label and Google Play data safety form.</t>
  </si>
  <si>
    <t>Fill both in from the privacy decision, and add an app section to the privacy policy.
Why: Both stores require them before review, and they must match what the app collects.</t>
  </si>
  <si>
    <t>D30</t>
  </si>
  <si>
    <t>When do we ask readers to rate the app?</t>
  </si>
  <si>
    <t>Store rating, reviews.</t>
  </si>
  <si>
    <t>A) The system rating prompt at a good moment.
B) Never ask.</t>
  </si>
  <si>
    <t>A. After a reader's third completed article, never after an error, and within the limits the system sets.
Why: Asking after a good reading moment brings better ratings, and early ratings help the listing during the campaign.</t>
  </si>
  <si>
    <t>D31</t>
  </si>
  <si>
    <t>When do we submit and release?</t>
  </si>
  <si>
    <t>Launch date, campaign readiness.</t>
  </si>
  <si>
    <t>A) Submit early December, release before the holidays or early January.
B) Submit close to the campaign.</t>
  </si>
  <si>
    <t>A. Submit both apps at the store submission gate with release held, then launch at least two weeks before the campaign starts.
Why: Review can slow over the holidays, and a rejection needs time to fix before the campaign.</t>
  </si>
  <si>
    <t>D32</t>
  </si>
  <si>
    <t>Post-launch</t>
  </si>
  <si>
    <t>What are the KPI targets?</t>
  </si>
  <si>
    <t>How V1 is judged.</t>
  </si>
  <si>
    <t>A) Set targets from launch data.
B) Set targets now.</t>
  </si>
  <si>
    <t>A. Set targets at the 30-day review from launch data (see the KPIs tab), then review them monthly.
Why: Targets set before launch are guesses.</t>
  </si>
  <si>
    <t>D33</t>
  </si>
  <si>
    <t>Do we add a home screen widget?</t>
  </si>
  <si>
    <t>V1.1 scope.</t>
  </si>
  <si>
    <t>A) A widget showing today's edition.
B) No widget.</t>
  </si>
  <si>
    <t>A, in V1.1.
Why: Keeping today's edition on the reader's home screen supports the daily return habit.</t>
  </si>
  <si>
    <t>D34</t>
  </si>
  <si>
    <t>Do tablets get their own layout?</t>
  </si>
  <si>
    <t>Design scope.</t>
  </si>
  <si>
    <t>A) V1 runs on tablets using the phone layout.
B) Dedicated tablet layouts.</t>
  </si>
  <si>
    <t>A for V1. Dedicated tablet layouts after launch if tablet use is meaningful.
Why: Tablet layouts roughly double the design work for a small share of readers.</t>
  </si>
  <si>
    <t>D35</t>
  </si>
  <si>
    <t>Scope &amp; timeline</t>
  </si>
  <si>
    <t>Confirm what stays out of the app for now.</t>
  </si>
  <si>
    <t>Scope.</t>
  </si>
  <si>
    <t>No paywall, subscriptions or comments in the app. These follow the website's roadmap.
Why: Keeps V1 focused on the reading habit.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</si>
</sst>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 mmm\ d&quot;, &quot;yyyy"/>
  </numFmts>
  <fonts count="11">
    <font>
      <sz val="11.0"/>
      <color theme="1"/>
      <name val="Calibri"/>
      <scheme val="minor"/>
    </font>
    <font>
      <b/>
      <sz val="16.0"/>
      <color rgb="FF171717"/>
      <name val="Arial"/>
    </font>
    <font>
      <b/>
      <sz val="10.0"/>
      <color rgb="FFFFFFFF"/>
      <name val="Arial"/>
    </font>
    <font>
      <b/>
      <sz val="10.0"/>
      <color rgb="FF171717"/>
      <name val="Arial"/>
    </font>
    <font>
      <b/>
      <sz val="10.0"/>
      <color rgb="FF0000FF"/>
      <name val="Arial"/>
    </font>
    <font>
      <i/>
      <sz val="9.0"/>
      <color rgb="FF6B6B6B"/>
      <name val="Arial"/>
    </font>
    <font>
      <sz val="10.0"/>
      <color rgb="FF171717"/>
      <name val="Arial"/>
    </font>
    <font>
      <b/>
      <sz val="18.0"/>
      <color rgb="FF171717"/>
      <name val="Arial"/>
    </font>
    <font>
      <sz val="10.0"/>
      <color rgb="FF6B6B6B"/>
      <name val="Arial"/>
    </font>
    <font>
      <b/>
      <sz val="12.0"/>
      <color rgb="FFDB3A3A"/>
      <name val="Arial"/>
    </font>
    <font>
      <sz val="10.0"/>
      <color rgb="FF0000FF"/>
      <name val="Arial"/>
    </font>
  </fonts>
  <fills count="13">
    <fill>
      <patternFill patternType="none"/>
    </fill>
    <fill>
      <patternFill patternType="lightGray"/>
    </fill>
    <fill>
      <patternFill patternType="solid">
        <fgColor rgb="FF171717"/>
        <bgColor rgb="FF171717"/>
      </patternFill>
    </fill>
    <fill>
      <patternFill patternType="solid">
        <fgColor rgb="FFFFFF00"/>
        <bgColor rgb="FFFFFF00"/>
      </patternFill>
    </fill>
    <fill>
      <patternFill patternType="solid">
        <fgColor rgb="FFFFF8E1"/>
        <bgColor rgb="FFFFF8E1"/>
      </patternFill>
    </fill>
    <fill>
      <patternFill patternType="solid">
        <fgColor rgb="FFC9DAF8"/>
        <bgColor rgb="FFC9DAF8"/>
      </patternFill>
    </fill>
    <fill>
      <patternFill patternType="solid">
        <fgColor rgb="FFF8D7D7"/>
        <bgColor rgb="FFF8D7D7"/>
      </patternFill>
    </fill>
    <fill>
      <patternFill patternType="solid">
        <fgColor rgb="FFFDF1CC"/>
        <bgColor rgb="FFFDF1CC"/>
      </patternFill>
    </fill>
    <fill>
      <patternFill patternType="solid">
        <fgColor rgb="FFE4E0FB"/>
        <bgColor rgb="FFE4E0FB"/>
      </patternFill>
    </fill>
    <fill>
      <patternFill patternType="solid">
        <fgColor rgb="FFFFE3DA"/>
        <bgColor rgb="FFFFE3DA"/>
      </patternFill>
    </fill>
    <fill>
      <patternFill patternType="solid">
        <fgColor rgb="FFD9EFD9"/>
        <bgColor rgb="FFD9EFD9"/>
      </patternFill>
    </fill>
    <fill>
      <patternFill patternType="solid">
        <fgColor rgb="FFFCE0F2"/>
        <bgColor rgb="FFFCE0F2"/>
      </patternFill>
    </fill>
    <fill>
      <patternFill patternType="solid">
        <fgColor rgb="FFE5E5E5"/>
        <bgColor rgb="FFE5E5E5"/>
      </patternFill>
    </fill>
  </fills>
  <borders count="4">
    <border/>
    <border>
      <left/>
      <right/>
      <top/>
      <bottom/>
    </border>
    <border>
      <bottom style="thin">
        <color rgb="FFD9D6D0"/>
      </bottom>
    </border>
    <border>
      <left/>
      <right/>
      <top/>
      <bottom style="thin">
        <color rgb="FFD9D6D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center" wrapText="1"/>
    </xf>
    <xf borderId="0" fillId="0" fontId="3" numFmtId="0" xfId="0" applyAlignment="1" applyFont="1">
      <alignment shrinkToFit="0" vertical="bottom" wrapText="0"/>
    </xf>
    <xf borderId="1" fillId="3" fontId="4" numFmtId="164" xfId="0" applyAlignment="1" applyBorder="1" applyFill="1" applyFont="1" applyNumberFormat="1">
      <alignment shrinkToFit="0" vertical="bottom" wrapText="0"/>
    </xf>
    <xf borderId="2" fillId="0" fontId="3" numFmtId="0" xfId="0" applyAlignment="1" applyBorder="1" applyFont="1">
      <alignment shrinkToFit="0" vertical="top" wrapText="1"/>
    </xf>
    <xf borderId="0" fillId="0" fontId="5" numFmtId="0" xfId="0" applyAlignment="1" applyFont="1">
      <alignment shrinkToFit="0" vertical="bottom" wrapText="0"/>
    </xf>
    <xf borderId="2" fillId="0" fontId="6" numFmtId="0" xfId="0" applyAlignment="1" applyBorder="1" applyFont="1">
      <alignment shrinkToFit="0" vertical="top" wrapText="1"/>
    </xf>
    <xf borderId="0" fillId="0" fontId="7" numFmtId="0" xfId="0" applyAlignment="1" applyFont="1">
      <alignment shrinkToFit="0" vertical="bottom" wrapText="0"/>
    </xf>
    <xf borderId="3" fillId="4" fontId="6" numFmtId="0" xfId="0" applyAlignment="1" applyBorder="1" applyFill="1" applyFont="1">
      <alignment shrinkToFit="0" vertical="top" wrapText="1"/>
    </xf>
    <xf borderId="0" fillId="0" fontId="8" numFmtId="0" xfId="0" applyAlignment="1" applyFont="1">
      <alignment shrinkToFit="0" vertical="bottom" wrapText="0"/>
    </xf>
    <xf borderId="2" fillId="5" fontId="3" numFmtId="0" xfId="0" applyAlignment="1" applyBorder="1" applyFill="1" applyFont="1">
      <alignment readingOrder="0" shrinkToFit="0" vertical="top" wrapText="1"/>
    </xf>
    <xf borderId="0" fillId="0" fontId="9" numFmtId="0" xfId="0" applyAlignment="1" applyFont="1">
      <alignment shrinkToFit="0" vertical="bottom" wrapText="0"/>
    </xf>
    <xf borderId="0" fillId="0" fontId="6" numFmtId="0" xfId="0" applyAlignment="1" applyFont="1">
      <alignment shrinkToFit="0" vertical="top" wrapText="1"/>
    </xf>
    <xf borderId="3" fillId="6" fontId="6" numFmtId="0" xfId="0" applyAlignment="1" applyBorder="1" applyFill="1" applyFont="1">
      <alignment shrinkToFit="0" vertical="top" wrapText="1"/>
    </xf>
    <xf borderId="2" fillId="0" fontId="10" numFmtId="0" xfId="0" applyAlignment="1" applyBorder="1" applyFont="1">
      <alignment shrinkToFit="0" vertical="top" wrapText="1"/>
    </xf>
    <xf borderId="2" fillId="0" fontId="6" numFmtId="164" xfId="0" applyAlignment="1" applyBorder="1" applyFont="1" applyNumberFormat="1">
      <alignment shrinkToFit="0" vertical="top" wrapText="1"/>
    </xf>
    <xf borderId="1" fillId="2" fontId="2" numFmtId="0" xfId="0" applyAlignment="1" applyBorder="1" applyFill="1" applyFont="1">
      <alignment horizontal="left" shrinkToFit="0" vertical="center" wrapText="0"/>
    </xf>
    <xf borderId="1" fillId="2" fontId="2" numFmtId="0" xfId="0" applyAlignment="1" applyBorder="1" applyFill="1" applyFont="1">
      <alignment horizontal="center" shrinkToFit="0" vertical="center" wrapText="0"/>
    </xf>
    <xf borderId="3" fillId="7" fontId="6" numFmtId="0" xfId="0" applyAlignment="1" applyBorder="1" applyFill="1" applyFont="1">
      <alignment shrinkToFit="0" vertical="top" wrapText="1"/>
    </xf>
    <xf borderId="3" fillId="6" fontId="3" numFmtId="0" xfId="0" applyAlignment="1" applyBorder="1" applyFill="1" applyFont="1">
      <alignment shrinkToFit="0" vertical="bottom" wrapText="0"/>
    </xf>
    <xf borderId="3" fillId="8" fontId="6" numFmtId="0" xfId="0" applyAlignment="1" applyBorder="1" applyFill="1" applyFont="1">
      <alignment shrinkToFit="0" vertical="top" wrapText="1"/>
    </xf>
    <xf borderId="2" fillId="0" fontId="6" numFmtId="0" xfId="0" applyAlignment="1" applyBorder="1" applyFont="1">
      <alignment readingOrder="0" shrinkToFit="0" vertical="top" wrapText="1"/>
    </xf>
    <xf borderId="2" fillId="0" fontId="6" numFmtId="0" xfId="0" applyAlignment="1" applyBorder="1" applyFont="1">
      <alignment horizontal="center" shrinkToFit="0" vertical="bottom" wrapText="0"/>
    </xf>
    <xf borderId="3" fillId="7" fontId="3" numFmtId="0" xfId="0" applyAlignment="1" applyBorder="1" applyFill="1" applyFont="1">
      <alignment shrinkToFit="0" vertical="bottom" wrapText="0"/>
    </xf>
    <xf borderId="3" fillId="8" fontId="3" numFmtId="0" xfId="0" applyAlignment="1" applyBorder="1" applyFill="1" applyFont="1">
      <alignment shrinkToFit="0" vertical="bottom" wrapText="0"/>
    </xf>
    <xf borderId="0" fillId="0" fontId="3" numFmtId="0" xfId="0" applyAlignment="1" applyFont="1">
      <alignment horizontal="center" shrinkToFit="0" vertical="bottom" wrapText="0"/>
    </xf>
    <xf borderId="3" fillId="4" fontId="6" numFmtId="0" xfId="0" applyAlignment="1" applyBorder="1" applyFill="1" applyFont="1">
      <alignment readingOrder="0" shrinkToFit="0" vertical="top" wrapText="1"/>
    </xf>
    <xf borderId="1" fillId="9" fontId="3" numFmtId="0" xfId="0" applyAlignment="1" applyBorder="1" applyFill="1" applyFont="1">
      <alignment shrinkToFit="0" vertical="bottom" wrapText="0"/>
    </xf>
    <xf borderId="0" fillId="0" fontId="6" numFmtId="0" xfId="0" applyAlignment="1" applyFont="1">
      <alignment shrinkToFit="0" vertical="bottom" wrapText="0"/>
    </xf>
    <xf borderId="1" fillId="7" fontId="3" numFmtId="0" xfId="0" applyAlignment="1" applyBorder="1" applyFill="1" applyFont="1">
      <alignment shrinkToFit="0" vertical="bottom" wrapText="0"/>
    </xf>
    <xf borderId="1" fillId="10" fontId="3" numFmtId="0" xfId="0" applyAlignment="1" applyBorder="1" applyFill="1" applyFont="1">
      <alignment shrinkToFit="0" vertical="bottom" wrapText="0"/>
    </xf>
    <xf borderId="1" fillId="11" fontId="3" numFmtId="0" xfId="0" applyAlignment="1" applyBorder="1" applyFill="1" applyFont="1">
      <alignment shrinkToFit="0" vertical="bottom" wrapText="0"/>
    </xf>
    <xf borderId="1" fillId="12" fontId="3" numFmtId="0" xfId="0" applyAlignment="1" applyBorder="1" applyFill="1" applyFont="1">
      <alignment shrinkToFit="0" vertical="bottom" wrapText="0"/>
    </xf>
  </cellXfs>
  <cellStyles count="1">
    <cellStyle xfId="0" name="Normal" builtinId="0"/>
  </cellStyles>
  <dxfs count="9">
    <dxf>
      <font>
        <b/>
        <color rgb="FF171717"/>
        <name val="Arial"/>
      </font>
      <fill>
        <patternFill patternType="solid">
          <fgColor rgb="FFF8D7D7"/>
          <bgColor rgb="FFF8D7D7"/>
        </patternFill>
      </fill>
      <border/>
    </dxf>
    <dxf>
      <font>
        <b/>
        <color rgb="FF171717"/>
        <name val="Arial"/>
      </font>
      <fill>
        <patternFill patternType="solid">
          <fgColor rgb="FFFDF1CC"/>
          <bgColor rgb="FFFDF1CC"/>
        </patternFill>
      </fill>
      <border/>
    </dxf>
    <dxf>
      <font>
        <b/>
        <color rgb="FF171717"/>
        <name val="Arial"/>
      </font>
      <fill>
        <patternFill patternType="solid">
          <fgColor rgb="FFE4E0FB"/>
          <bgColor rgb="FFE4E0FB"/>
        </patternFill>
      </fill>
      <border/>
    </dxf>
    <dxf>
      <font/>
      <fill>
        <patternFill patternType="solid">
          <fgColor rgb="FFFFE3DA"/>
          <bgColor rgb="FFFFE3DA"/>
        </patternFill>
      </fill>
      <border/>
    </dxf>
    <dxf>
      <font/>
      <fill>
        <patternFill patternType="solid">
          <fgColor rgb="FFFDF1CC"/>
          <bgColor rgb="FFFDF1CC"/>
        </patternFill>
      </fill>
      <border/>
    </dxf>
    <dxf>
      <font/>
      <fill>
        <patternFill patternType="solid">
          <fgColor rgb="FFD9EFD9"/>
          <bgColor rgb="FFD9EFD9"/>
        </patternFill>
      </fill>
      <border/>
    </dxf>
    <dxf>
      <font/>
      <fill>
        <patternFill patternType="solid">
          <fgColor rgb="FFFCE0F2"/>
          <bgColor rgb="FFFCE0F2"/>
        </patternFill>
      </fill>
      <border/>
    </dxf>
    <dxf>
      <font/>
      <fill>
        <patternFill patternType="solid">
          <fgColor rgb="FFE5E5E5"/>
          <bgColor rgb="FFE5E5E5"/>
        </patternFill>
      </fill>
      <border/>
    </dxf>
    <dxf>
      <font>
        <b/>
        <color rgb="FFDB3A3A"/>
        <name val="Arial"/>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6.0"/>
    <col customWidth="1" min="3" max="8" width="16.0"/>
    <col customWidth="1" min="9" max="26" width="8.71"/>
  </cols>
  <sheetData>
    <row r="2">
      <c r="B2" s="8" t="s">
        <v>2</v>
      </c>
    </row>
    <row r="3">
      <c r="B3" s="10" t="s">
        <v>40</v>
      </c>
    </row>
    <row r="5">
      <c r="B5" s="12" t="s">
        <v>49</v>
      </c>
    </row>
    <row r="6" ht="30.0" customHeight="1">
      <c r="B6" s="13" t="s">
        <v>62</v>
      </c>
    </row>
    <row r="7" ht="30.0" customHeight="1">
      <c r="B7" s="13" t="s">
        <v>70</v>
      </c>
    </row>
    <row r="8" ht="30.0" customHeight="1">
      <c r="B8" s="13" t="s">
        <v>77</v>
      </c>
    </row>
    <row r="9" ht="30.0" customHeight="1">
      <c r="B9" s="13" t="s">
        <v>90</v>
      </c>
    </row>
    <row r="10" ht="30.0" customHeight="1">
      <c r="B10" s="13" t="s">
        <v>91</v>
      </c>
    </row>
    <row r="11" ht="30.0" customHeight="1">
      <c r="B11" s="13" t="s">
        <v>92</v>
      </c>
    </row>
    <row r="13">
      <c r="B13" s="12" t="s">
        <v>93</v>
      </c>
    </row>
    <row r="14" ht="19.5" customHeight="1">
      <c r="B14" s="17" t="s">
        <v>5</v>
      </c>
      <c r="C14" s="18" t="s">
        <v>100</v>
      </c>
      <c r="D14" s="18" t="s">
        <v>102</v>
      </c>
      <c r="E14" s="18" t="s">
        <v>103</v>
      </c>
      <c r="F14" s="18" t="s">
        <v>104</v>
      </c>
      <c r="G14" s="18" t="s">
        <v>105</v>
      </c>
      <c r="H14" s="18" t="s">
        <v>108</v>
      </c>
    </row>
    <row r="15">
      <c r="B15" s="20" t="s">
        <v>87</v>
      </c>
      <c r="C15" s="23">
        <f>COUNTIF(Decisions!$B$2:$B$33,B15)</f>
        <v>4</v>
      </c>
      <c r="D15" s="23">
        <f>COUNTIFS(Decisions!$B$2:$B$33,$B15,Decisions!$J$2:$J$33,"Awaiting Giant")</f>
        <v>4</v>
      </c>
      <c r="E15" s="23">
        <f>COUNTIFS(Decisions!$B$2:$B$33,$B15,Decisions!$J$2:$J$33,"In discussion")</f>
        <v>0</v>
      </c>
      <c r="F15" s="23">
        <f>COUNTIFS(Decisions!$B$2:$B$33,$B15,Decisions!$J$2:$J$33,"Confirmed")</f>
        <v>0</v>
      </c>
      <c r="G15" s="23">
        <f>COUNTIFS(Decisions!$B$2:$B$33,$B15,Decisions!$J$2:$J$33,"Changed")</f>
        <v>0</v>
      </c>
      <c r="H15" s="23">
        <f>COUNTIFS(Decisions!$B$2:$B$33,$B15,Decisions!$J$2:$J$33,"Deferred")</f>
        <v>0</v>
      </c>
    </row>
    <row r="16">
      <c r="B16" s="24" t="s">
        <v>101</v>
      </c>
      <c r="C16" s="23">
        <f>COUNTIF(Decisions!$B$2:$B$33,B16)</f>
        <v>15</v>
      </c>
      <c r="D16" s="23">
        <f>COUNTIFS(Decisions!$B$2:$B$33,$B16,Decisions!$J$2:$J$33,"Awaiting Giant")</f>
        <v>15</v>
      </c>
      <c r="E16" s="23">
        <f>COUNTIFS(Decisions!$B$2:$B$33,$B16,Decisions!$J$2:$J$33,"In discussion")</f>
        <v>0</v>
      </c>
      <c r="F16" s="23">
        <f>COUNTIFS(Decisions!$B$2:$B$33,$B16,Decisions!$J$2:$J$33,"Confirmed")</f>
        <v>0</v>
      </c>
      <c r="G16" s="23">
        <f>COUNTIFS(Decisions!$B$2:$B$33,$B16,Decisions!$J$2:$J$33,"Changed")</f>
        <v>0</v>
      </c>
      <c r="H16" s="23">
        <f>COUNTIFS(Decisions!$B$2:$B$33,$B16,Decisions!$J$2:$J$33,"Deferred")</f>
        <v>0</v>
      </c>
    </row>
    <row r="17">
      <c r="B17" s="25" t="s">
        <v>112</v>
      </c>
      <c r="C17" s="23">
        <f>COUNTIF(Decisions!$B$2:$B$33,B17)</f>
        <v>7</v>
      </c>
      <c r="D17" s="23">
        <f>COUNTIFS(Decisions!$B$2:$B$33,$B17,Decisions!$J$2:$J$33,"Awaiting Giant")</f>
        <v>7</v>
      </c>
      <c r="E17" s="23">
        <f>COUNTIFS(Decisions!$B$2:$B$33,$B17,Decisions!$J$2:$J$33,"In discussion")</f>
        <v>0</v>
      </c>
      <c r="F17" s="23">
        <f>COUNTIFS(Decisions!$B$2:$B$33,$B17,Decisions!$J$2:$J$33,"Confirmed")</f>
        <v>0</v>
      </c>
      <c r="G17" s="23">
        <f>COUNTIFS(Decisions!$B$2:$B$33,$B17,Decisions!$J$2:$J$33,"Changed")</f>
        <v>0</v>
      </c>
      <c r="H17" s="23">
        <f>COUNTIFS(Decisions!$B$2:$B$33,$B17,Decisions!$J$2:$J$33,"Deferred")</f>
        <v>0</v>
      </c>
    </row>
    <row r="18">
      <c r="B18" s="3" t="s">
        <v>166</v>
      </c>
      <c r="C18" s="26">
        <f t="shared" ref="C18:H18" si="1">SUM(C15:C17)</f>
        <v>26</v>
      </c>
      <c r="D18" s="26">
        <f t="shared" si="1"/>
        <v>26</v>
      </c>
      <c r="E18" s="26">
        <f t="shared" si="1"/>
        <v>0</v>
      </c>
      <c r="F18" s="26">
        <f t="shared" si="1"/>
        <v>0</v>
      </c>
      <c r="G18" s="26">
        <f t="shared" si="1"/>
        <v>0</v>
      </c>
      <c r="H18" s="26">
        <f t="shared" si="1"/>
        <v>0</v>
      </c>
    </row>
    <row r="20">
      <c r="B20" s="12" t="s">
        <v>167</v>
      </c>
    </row>
    <row r="21" ht="15.75" customHeight="1">
      <c r="B21" s="28" t="s">
        <v>102</v>
      </c>
      <c r="C21" s="29" t="s">
        <v>169</v>
      </c>
    </row>
    <row r="22" ht="15.75" customHeight="1">
      <c r="B22" s="30" t="s">
        <v>103</v>
      </c>
      <c r="C22" s="29" t="s">
        <v>171</v>
      </c>
    </row>
    <row r="23" ht="15.75" customHeight="1">
      <c r="B23" s="31" t="s">
        <v>104</v>
      </c>
      <c r="C23" s="29" t="s">
        <v>175</v>
      </c>
    </row>
    <row r="24" ht="15.75" customHeight="1">
      <c r="B24" s="32" t="s">
        <v>105</v>
      </c>
      <c r="C24" s="29" t="s">
        <v>176</v>
      </c>
    </row>
    <row r="25" ht="15.75" customHeight="1">
      <c r="B25" s="33" t="s">
        <v>108</v>
      </c>
      <c r="C25" s="29" t="s">
        <v>177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22:H22"/>
    <mergeCell ref="C23:H23"/>
    <mergeCell ref="C24:H24"/>
    <mergeCell ref="C25:H25"/>
    <mergeCell ref="B6:H6"/>
    <mergeCell ref="B7:H7"/>
    <mergeCell ref="B8:H8"/>
    <mergeCell ref="B9:H9"/>
    <mergeCell ref="B10:H10"/>
    <mergeCell ref="B11:H11"/>
    <mergeCell ref="C21:H2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6.0"/>
    <col customWidth="1" min="2" max="2" width="13.0"/>
    <col customWidth="1" min="3" max="3" width="17.0"/>
    <col customWidth="1" min="4" max="4" width="38.0"/>
    <col customWidth="1" min="5" max="5" width="22.0"/>
    <col customWidth="1" min="6" max="6" width="39.43"/>
    <col customWidth="1" min="7" max="7" width="42.0"/>
    <col customWidth="1" min="8" max="8" width="60.0"/>
    <col customWidth="1" min="9" max="9" width="18.14"/>
    <col customWidth="1" min="10" max="10" width="16.0"/>
    <col customWidth="1" min="11" max="11" width="40.0"/>
    <col customWidth="1" hidden="1" min="12" max="12" width="18.0"/>
    <col customWidth="1" min="13" max="26" width="8.71"/>
  </cols>
  <sheetData>
    <row r="1" ht="24.0" customHeight="1">
      <c r="A1" s="2" t="s">
        <v>1</v>
      </c>
      <c r="B1" s="2" t="s">
        <v>5</v>
      </c>
      <c r="C1" s="2" t="s">
        <v>6</v>
      </c>
      <c r="D1" s="2" t="s">
        <v>7</v>
      </c>
      <c r="E1" s="2" t="s">
        <v>8</v>
      </c>
      <c r="F1" s="2" t="s">
        <v>9</v>
      </c>
      <c r="G1" s="2" t="s">
        <v>10</v>
      </c>
      <c r="H1" s="2" t="s">
        <v>11</v>
      </c>
      <c r="I1" s="2" t="s">
        <v>17</v>
      </c>
      <c r="J1" s="2" t="s">
        <v>19</v>
      </c>
      <c r="K1" s="2" t="s">
        <v>20</v>
      </c>
      <c r="L1" s="2" t="s">
        <v>22</v>
      </c>
    </row>
    <row r="2" ht="102.0" customHeight="1">
      <c r="A2" s="7" t="s">
        <v>23</v>
      </c>
      <c r="B2" s="11" t="s">
        <v>47</v>
      </c>
      <c r="C2" s="7" t="s">
        <v>57</v>
      </c>
      <c r="D2" s="5" t="s">
        <v>60</v>
      </c>
      <c r="E2" s="7" t="s">
        <v>84</v>
      </c>
      <c r="F2" s="7" t="s">
        <v>86</v>
      </c>
      <c r="G2" s="7" t="s">
        <v>88</v>
      </c>
      <c r="H2" s="7" t="s">
        <v>89</v>
      </c>
      <c r="I2" s="16">
        <f t="array" ref="I2">IFERROR(INDEX(Timeline!$E$7:$E$15,MATCH(L2,Timeline!$B$7:$B$15,0)),"")</f>
        <v>46295</v>
      </c>
      <c r="J2" s="9" t="s">
        <v>102</v>
      </c>
      <c r="K2" s="9"/>
      <c r="L2" s="7" t="s">
        <v>85</v>
      </c>
    </row>
    <row r="3" ht="61.5" customHeight="1">
      <c r="A3" s="7" t="s">
        <v>121</v>
      </c>
      <c r="B3" s="11" t="s">
        <v>47</v>
      </c>
      <c r="C3" s="7" t="s">
        <v>122</v>
      </c>
      <c r="D3" s="5" t="s">
        <v>123</v>
      </c>
      <c r="E3" s="7" t="s">
        <v>84</v>
      </c>
      <c r="F3" s="7" t="s">
        <v>127</v>
      </c>
      <c r="G3" s="22" t="s">
        <v>128</v>
      </c>
      <c r="H3" s="22" t="s">
        <v>129</v>
      </c>
      <c r="I3" s="16">
        <f t="array" ref="I3">IFERROR(INDEX(Timeline!$E$7:$E$15,MATCH(L3,Timeline!$B$7:$B$15,0)),"")</f>
        <v>46295</v>
      </c>
      <c r="J3" s="9" t="s">
        <v>102</v>
      </c>
      <c r="K3" s="9"/>
      <c r="L3" s="7" t="s">
        <v>85</v>
      </c>
    </row>
    <row r="4" ht="88.5" customHeight="1">
      <c r="A4" s="7" t="s">
        <v>132</v>
      </c>
      <c r="B4" s="11" t="s">
        <v>47</v>
      </c>
      <c r="C4" s="7" t="s">
        <v>133</v>
      </c>
      <c r="D4" s="5" t="s">
        <v>134</v>
      </c>
      <c r="E4" s="7" t="s">
        <v>84</v>
      </c>
      <c r="F4" s="7" t="s">
        <v>135</v>
      </c>
      <c r="G4" s="7" t="s">
        <v>136</v>
      </c>
      <c r="H4" s="7" t="s">
        <v>137</v>
      </c>
      <c r="I4" s="16">
        <f t="array" ref="I4">IFERROR(INDEX(Timeline!$E$7:$E$15,MATCH(L4,Timeline!$B$7:$B$15,0)),"")</f>
        <v>46295</v>
      </c>
      <c r="J4" s="9" t="s">
        <v>102</v>
      </c>
      <c r="K4" s="9"/>
      <c r="L4" s="7" t="s">
        <v>85</v>
      </c>
    </row>
    <row r="5" ht="102.0" customHeight="1">
      <c r="A5" s="7" t="s">
        <v>138</v>
      </c>
      <c r="B5" s="11" t="s">
        <v>47</v>
      </c>
      <c r="C5" s="7" t="s">
        <v>139</v>
      </c>
      <c r="D5" s="5" t="s">
        <v>140</v>
      </c>
      <c r="E5" s="7" t="s">
        <v>84</v>
      </c>
      <c r="F5" s="7" t="s">
        <v>141</v>
      </c>
      <c r="G5" s="7" t="s">
        <v>142</v>
      </c>
      <c r="H5" s="22" t="s">
        <v>143</v>
      </c>
      <c r="I5" s="16">
        <f t="array" ref="I5">IFERROR(INDEX(Timeline!$E$7:$E$15,MATCH(L5,Timeline!$B$7:$B$15,0)),"")</f>
        <v>46295</v>
      </c>
      <c r="J5" s="9" t="s">
        <v>102</v>
      </c>
      <c r="K5" s="9"/>
      <c r="L5" s="7" t="s">
        <v>85</v>
      </c>
    </row>
    <row r="6" ht="75.0" customHeight="1">
      <c r="A6" s="7" t="s">
        <v>144</v>
      </c>
      <c r="B6" s="11" t="s">
        <v>47</v>
      </c>
      <c r="C6" s="7" t="s">
        <v>145</v>
      </c>
      <c r="D6" s="5" t="s">
        <v>146</v>
      </c>
      <c r="E6" s="7" t="s">
        <v>84</v>
      </c>
      <c r="F6" s="7" t="s">
        <v>147</v>
      </c>
      <c r="G6" s="7" t="s">
        <v>148</v>
      </c>
      <c r="H6" s="7" t="s">
        <v>149</v>
      </c>
      <c r="I6" s="16">
        <f t="array" ref="I6">IFERROR(INDEX(Timeline!$E$7:$E$15,MATCH(L6,Timeline!$B$7:$B$15,0)),"")</f>
        <v>46295</v>
      </c>
      <c r="J6" s="9" t="s">
        <v>102</v>
      </c>
      <c r="K6" s="9"/>
      <c r="L6" s="7" t="s">
        <v>85</v>
      </c>
    </row>
    <row r="8" ht="102.0" customHeight="1">
      <c r="A8" s="7" t="s">
        <v>150</v>
      </c>
      <c r="B8" s="7" t="str">
        <f t="array" ref="B8">IFERROR(INDEX(Timeline!$C$7:$C$15,MATCH(L8,Timeline!$B$7:$B$15,0)),"")</f>
        <v>Decide now</v>
      </c>
      <c r="C8" s="7" t="s">
        <v>139</v>
      </c>
      <c r="D8" s="5" t="s">
        <v>151</v>
      </c>
      <c r="E8" s="7" t="s">
        <v>84</v>
      </c>
      <c r="F8" s="7" t="s">
        <v>152</v>
      </c>
      <c r="G8" s="7" t="s">
        <v>153</v>
      </c>
      <c r="H8" s="7" t="s">
        <v>154</v>
      </c>
      <c r="I8" s="16">
        <f t="array" ref="I8">IFERROR(INDEX(Timeline!$E$7:$E$15,MATCH(L8,Timeline!$B$7:$B$15,0)),"")</f>
        <v>46295</v>
      </c>
      <c r="J8" s="9" t="s">
        <v>102</v>
      </c>
      <c r="K8" s="9"/>
      <c r="L8" s="7" t="s">
        <v>85</v>
      </c>
    </row>
    <row r="9" ht="115.5" customHeight="1">
      <c r="A9" s="7" t="s">
        <v>155</v>
      </c>
      <c r="B9" s="7" t="str">
        <f t="array" ref="B9">IFERROR(INDEX(Timeline!$C$7:$C$15,MATCH(L9,Timeline!$B$7:$B$15,0)),"")</f>
        <v>Decide now</v>
      </c>
      <c r="C9" s="7" t="s">
        <v>156</v>
      </c>
      <c r="D9" s="5" t="s">
        <v>157</v>
      </c>
      <c r="E9" s="7" t="s">
        <v>84</v>
      </c>
      <c r="F9" s="7" t="s">
        <v>158</v>
      </c>
      <c r="G9" s="22" t="s">
        <v>159</v>
      </c>
      <c r="H9" s="22" t="s">
        <v>160</v>
      </c>
      <c r="I9" s="16">
        <f t="array" ref="I9">IFERROR(INDEX(Timeline!$E$7:$E$15,MATCH(L9,Timeline!$B$7:$B$15,0)),"")</f>
        <v>46295</v>
      </c>
      <c r="J9" s="9" t="s">
        <v>102</v>
      </c>
      <c r="K9" s="9"/>
      <c r="L9" s="7" t="s">
        <v>85</v>
      </c>
    </row>
    <row r="10" ht="88.5" customHeight="1">
      <c r="A10" s="7" t="s">
        <v>161</v>
      </c>
      <c r="B10" s="7" t="str">
        <f t="array" ref="B10">IFERROR(INDEX(Timeline!$C$7:$C$15,MATCH(L10,Timeline!$B$7:$B$15,0)),"")</f>
        <v>Decide now</v>
      </c>
      <c r="C10" s="7" t="s">
        <v>156</v>
      </c>
      <c r="D10" s="5" t="s">
        <v>162</v>
      </c>
      <c r="E10" s="7" t="s">
        <v>84</v>
      </c>
      <c r="F10" s="7" t="s">
        <v>163</v>
      </c>
      <c r="G10" s="22" t="s">
        <v>164</v>
      </c>
      <c r="H10" s="22" t="s">
        <v>165</v>
      </c>
      <c r="I10" s="16">
        <f t="array" ref="I10">IFERROR(INDEX(Timeline!$E$7:$E$15,MATCH(L10,Timeline!$B$7:$B$15,0)),"")</f>
        <v>46304</v>
      </c>
      <c r="J10" s="9" t="s">
        <v>102</v>
      </c>
      <c r="K10" s="27"/>
      <c r="L10" s="7" t="s">
        <v>96</v>
      </c>
    </row>
    <row r="11" ht="102.0" customHeight="1">
      <c r="A11" s="7" t="s">
        <v>168</v>
      </c>
      <c r="B11" s="7" t="str">
        <f t="array" ref="B11">IFERROR(INDEX(Timeline!$C$7:$C$15,MATCH(L11,Timeline!$B$7:$B$15,0)),"")</f>
        <v>Decide now</v>
      </c>
      <c r="C11" s="7" t="s">
        <v>145</v>
      </c>
      <c r="D11" s="5" t="s">
        <v>170</v>
      </c>
      <c r="E11" s="7" t="s">
        <v>84</v>
      </c>
      <c r="F11" s="7" t="s">
        <v>172</v>
      </c>
      <c r="G11" s="7" t="s">
        <v>173</v>
      </c>
      <c r="H11" s="22" t="s">
        <v>174</v>
      </c>
      <c r="I11" s="16">
        <f t="array" ref="I11">IFERROR(INDEX(Timeline!$E$7:$E$15,MATCH(L11,Timeline!$B$7:$B$15,0)),"")</f>
        <v>46304</v>
      </c>
      <c r="J11" s="9" t="s">
        <v>102</v>
      </c>
      <c r="K11" s="9"/>
      <c r="L11" s="7" t="s">
        <v>96</v>
      </c>
    </row>
    <row r="12" ht="88.5" customHeight="1">
      <c r="A12" s="7" t="s">
        <v>178</v>
      </c>
      <c r="B12" s="7" t="str">
        <f t="array" ref="B12">IFERROR(INDEX(Timeline!$C$7:$C$15,MATCH(L12,Timeline!$B$7:$B$15,0)),"")</f>
        <v>Decide soon</v>
      </c>
      <c r="C12" s="7" t="s">
        <v>179</v>
      </c>
      <c r="D12" s="5" t="s">
        <v>180</v>
      </c>
      <c r="E12" s="7" t="s">
        <v>181</v>
      </c>
      <c r="F12" s="22" t="s">
        <v>182</v>
      </c>
      <c r="G12" s="7" t="s">
        <v>183</v>
      </c>
      <c r="H12" s="22" t="s">
        <v>184</v>
      </c>
      <c r="I12" s="16">
        <f t="array" ref="I12">IFERROR(INDEX(Timeline!$E$7:$E$15,MATCH(L12,Timeline!$B$7:$B$15,0)),"")</f>
        <v>46318</v>
      </c>
      <c r="J12" s="9" t="s">
        <v>102</v>
      </c>
      <c r="K12" s="27"/>
      <c r="L12" s="7" t="s">
        <v>99</v>
      </c>
    </row>
    <row r="13" ht="115.5" customHeight="1">
      <c r="A13" s="7" t="s">
        <v>185</v>
      </c>
      <c r="B13" s="7" t="str">
        <f t="array" ref="B13">IFERROR(INDEX(Timeline!$C$7:$C$15,MATCH(L13,Timeline!$B$7:$B$15,0)),"")</f>
        <v>Decide soon</v>
      </c>
      <c r="C13" s="7" t="s">
        <v>186</v>
      </c>
      <c r="D13" s="5" t="s">
        <v>187</v>
      </c>
      <c r="E13" s="7" t="s">
        <v>84</v>
      </c>
      <c r="F13" s="7" t="s">
        <v>188</v>
      </c>
      <c r="G13" s="7" t="s">
        <v>189</v>
      </c>
      <c r="H13" s="7" t="s">
        <v>190</v>
      </c>
      <c r="I13" s="16">
        <f t="array" ref="I13">IFERROR(INDEX(Timeline!$E$7:$E$15,MATCH(L13,Timeline!$B$7:$B$15,0)),"")</f>
        <v>46318</v>
      </c>
      <c r="J13" s="9" t="s">
        <v>102</v>
      </c>
      <c r="K13" s="27" t="s">
        <v>191</v>
      </c>
      <c r="L13" s="7" t="s">
        <v>99</v>
      </c>
    </row>
    <row r="14" ht="61.5" customHeight="1">
      <c r="A14" s="7" t="s">
        <v>192</v>
      </c>
      <c r="B14" s="7" t="str">
        <f t="array" ref="B14">IFERROR(INDEX(Timeline!$C$7:$C$15,MATCH(L14,Timeline!$B$7:$B$15,0)),"")</f>
        <v>Decide soon</v>
      </c>
      <c r="C14" s="7" t="s">
        <v>156</v>
      </c>
      <c r="D14" s="5" t="s">
        <v>193</v>
      </c>
      <c r="E14" s="7" t="s">
        <v>181</v>
      </c>
      <c r="F14" s="7" t="s">
        <v>194</v>
      </c>
      <c r="G14" s="22" t="s">
        <v>195</v>
      </c>
      <c r="H14" s="22" t="s">
        <v>196</v>
      </c>
      <c r="I14" s="16">
        <f t="array" ref="I14">IFERROR(INDEX(Timeline!$E$7:$E$15,MATCH(L14,Timeline!$B$7:$B$15,0)),"")</f>
        <v>46318</v>
      </c>
      <c r="J14" s="9" t="s">
        <v>102</v>
      </c>
      <c r="K14" s="27"/>
      <c r="L14" s="7" t="s">
        <v>99</v>
      </c>
    </row>
    <row r="15" ht="75.0" customHeight="1">
      <c r="A15" s="7" t="s">
        <v>197</v>
      </c>
      <c r="B15" s="7" t="str">
        <f t="array" ref="B15">IFERROR(INDEX(Timeline!$C$7:$C$15,MATCH(L15,Timeline!$B$7:$B$15,0)),"")</f>
        <v>Decide soon</v>
      </c>
      <c r="C15" s="7" t="s">
        <v>156</v>
      </c>
      <c r="D15" s="5" t="s">
        <v>198</v>
      </c>
      <c r="E15" s="7" t="s">
        <v>181</v>
      </c>
      <c r="F15" s="7" t="s">
        <v>199</v>
      </c>
      <c r="G15" s="7" t="s">
        <v>200</v>
      </c>
      <c r="H15" s="22" t="s">
        <v>201</v>
      </c>
      <c r="I15" s="16">
        <f t="array" ref="I15">IFERROR(INDEX(Timeline!$E$7:$E$15,MATCH(L15,Timeline!$B$7:$B$15,0)),"")</f>
        <v>46318</v>
      </c>
      <c r="J15" s="9" t="s">
        <v>102</v>
      </c>
      <c r="K15" s="27"/>
      <c r="L15" s="7" t="s">
        <v>99</v>
      </c>
    </row>
    <row r="16" ht="61.5" customHeight="1">
      <c r="A16" s="7" t="s">
        <v>202</v>
      </c>
      <c r="B16" s="7" t="str">
        <f t="array" ref="B16">IFERROR(INDEX(Timeline!$C$7:$C$15,MATCH(L16,Timeline!$B$7:$B$15,0)),"")</f>
        <v>Decide soon</v>
      </c>
      <c r="C16" s="7" t="s">
        <v>139</v>
      </c>
      <c r="D16" s="5" t="s">
        <v>203</v>
      </c>
      <c r="E16" s="7" t="s">
        <v>181</v>
      </c>
      <c r="F16" s="7" t="s">
        <v>204</v>
      </c>
      <c r="G16" s="22" t="s">
        <v>205</v>
      </c>
      <c r="H16" s="22" t="s">
        <v>206</v>
      </c>
      <c r="I16" s="16">
        <f t="array" ref="I16">IFERROR(INDEX(Timeline!$E$7:$E$15,MATCH(L16,Timeline!$B$7:$B$15,0)),"")</f>
        <v>46318</v>
      </c>
      <c r="J16" s="9" t="s">
        <v>102</v>
      </c>
      <c r="K16" s="27"/>
      <c r="L16" s="7" t="s">
        <v>99</v>
      </c>
    </row>
    <row r="17" ht="102.0" customHeight="1">
      <c r="A17" s="7" t="s">
        <v>207</v>
      </c>
      <c r="B17" s="7" t="str">
        <f t="array" ref="B17">IFERROR(INDEX(Timeline!$C$7:$C$15,MATCH(L17,Timeline!$B$7:$B$15,0)),"")</f>
        <v>Decide soon</v>
      </c>
      <c r="C17" s="7" t="s">
        <v>208</v>
      </c>
      <c r="D17" s="5" t="s">
        <v>209</v>
      </c>
      <c r="E17" s="7" t="s">
        <v>210</v>
      </c>
      <c r="F17" s="7" t="s">
        <v>211</v>
      </c>
      <c r="G17" s="7" t="s">
        <v>212</v>
      </c>
      <c r="H17" s="7" t="s">
        <v>213</v>
      </c>
      <c r="I17" s="16">
        <f t="array" ref="I17">IFERROR(INDEX(Timeline!$E$7:$E$15,MATCH(L17,Timeline!$B$7:$B$15,0)),"")</f>
        <v>46332</v>
      </c>
      <c r="J17" s="9" t="s">
        <v>102</v>
      </c>
      <c r="K17" s="9"/>
      <c r="L17" s="7" t="s">
        <v>109</v>
      </c>
    </row>
    <row r="18" ht="75.0" customHeight="1">
      <c r="A18" s="7" t="s">
        <v>214</v>
      </c>
      <c r="B18" s="7" t="str">
        <f t="array" ref="B18">IFERROR(INDEX(Timeline!$C$7:$C$15,MATCH(L18,Timeline!$B$7:$B$15,0)),"")</f>
        <v>Decide soon</v>
      </c>
      <c r="C18" s="7" t="s">
        <v>57</v>
      </c>
      <c r="D18" s="5" t="s">
        <v>215</v>
      </c>
      <c r="E18" s="7" t="s">
        <v>210</v>
      </c>
      <c r="F18" s="7" t="s">
        <v>216</v>
      </c>
      <c r="G18" s="7" t="s">
        <v>217</v>
      </c>
      <c r="H18" s="22" t="s">
        <v>218</v>
      </c>
      <c r="I18" s="16">
        <f t="array" ref="I18">IFERROR(INDEX(Timeline!$E$7:$E$15,MATCH(L18,Timeline!$B$7:$B$15,0)),"")</f>
        <v>46332</v>
      </c>
      <c r="J18" s="9" t="s">
        <v>102</v>
      </c>
      <c r="K18" s="9"/>
      <c r="L18" s="7" t="s">
        <v>109</v>
      </c>
    </row>
    <row r="19" ht="102.0" customHeight="1">
      <c r="A19" s="7" t="s">
        <v>219</v>
      </c>
      <c r="B19" s="7" t="str">
        <f t="array" ref="B19">IFERROR(INDEX(Timeline!$C$7:$C$15,MATCH(L19,Timeline!$B$7:$B$15,0)),"")</f>
        <v>Decide soon</v>
      </c>
      <c r="C19" s="7" t="s">
        <v>220</v>
      </c>
      <c r="D19" s="5" t="s">
        <v>221</v>
      </c>
      <c r="E19" s="7" t="s">
        <v>84</v>
      </c>
      <c r="F19" s="7" t="s">
        <v>222</v>
      </c>
      <c r="G19" s="7" t="s">
        <v>223</v>
      </c>
      <c r="H19" s="22" t="s">
        <v>224</v>
      </c>
      <c r="I19" s="16">
        <f t="array" ref="I19">IFERROR(INDEX(Timeline!$E$7:$E$15,MATCH(L19,Timeline!$B$7:$B$15,0)),"")</f>
        <v>46332</v>
      </c>
      <c r="J19" s="9" t="s">
        <v>102</v>
      </c>
      <c r="K19" s="9"/>
      <c r="L19" s="7" t="s">
        <v>109</v>
      </c>
    </row>
    <row r="20" ht="88.5" customHeight="1">
      <c r="A20" s="7" t="s">
        <v>225</v>
      </c>
      <c r="B20" s="7" t="str">
        <f t="array" ref="B20">IFERROR(INDEX(Timeline!$C$7:$C$15,MATCH(L20,Timeline!$B$7:$B$15,0)),"")</f>
        <v>Decide soon</v>
      </c>
      <c r="C20" s="7" t="s">
        <v>220</v>
      </c>
      <c r="D20" s="5" t="s">
        <v>226</v>
      </c>
      <c r="E20" s="7" t="s">
        <v>84</v>
      </c>
      <c r="F20" s="7" t="s">
        <v>227</v>
      </c>
      <c r="G20" s="7" t="s">
        <v>228</v>
      </c>
      <c r="H20" s="7" t="s">
        <v>229</v>
      </c>
      <c r="I20" s="16">
        <f t="array" ref="I20">IFERROR(INDEX(Timeline!$E$7:$E$15,MATCH(L20,Timeline!$B$7:$B$15,0)),"")</f>
        <v>46332</v>
      </c>
      <c r="J20" s="9" t="s">
        <v>102</v>
      </c>
      <c r="K20" s="9"/>
      <c r="L20" s="7" t="s">
        <v>109</v>
      </c>
    </row>
    <row r="21" ht="61.5" customHeight="1">
      <c r="A21" s="7" t="s">
        <v>230</v>
      </c>
      <c r="B21" s="7" t="str">
        <f t="array" ref="B21">IFERROR(INDEX(Timeline!$C$7:$C$15,MATCH(L21,Timeline!$B$7:$B$15,0)),"")</f>
        <v>Decide soon</v>
      </c>
      <c r="C21" s="7" t="s">
        <v>139</v>
      </c>
      <c r="D21" s="5" t="s">
        <v>231</v>
      </c>
      <c r="E21" s="7" t="s">
        <v>84</v>
      </c>
      <c r="F21" s="7" t="s">
        <v>232</v>
      </c>
      <c r="G21" s="22" t="s">
        <v>233</v>
      </c>
      <c r="H21" s="22" t="s">
        <v>234</v>
      </c>
      <c r="I21" s="16">
        <f t="array" ref="I21">IFERROR(INDEX(Timeline!$E$7:$E$15,MATCH(L21,Timeline!$B$7:$B$15,0)),"")</f>
        <v>46332</v>
      </c>
      <c r="J21" s="9" t="s">
        <v>102</v>
      </c>
      <c r="K21" s="9"/>
      <c r="L21" s="7" t="s">
        <v>109</v>
      </c>
    </row>
    <row r="22" ht="88.5" customHeight="1">
      <c r="A22" s="7" t="s">
        <v>235</v>
      </c>
      <c r="B22" s="7" t="str">
        <f t="array" ref="B22">IFERROR(INDEX(Timeline!$C$7:$C$15,MATCH(L22,Timeline!$B$7:$B$15,0)),"")</f>
        <v>Decide soon</v>
      </c>
      <c r="C22" s="7" t="s">
        <v>208</v>
      </c>
      <c r="D22" s="5" t="s">
        <v>236</v>
      </c>
      <c r="E22" s="7" t="s">
        <v>210</v>
      </c>
      <c r="F22" s="7" t="s">
        <v>237</v>
      </c>
      <c r="G22" s="7" t="s">
        <v>238</v>
      </c>
      <c r="H22" s="22" t="s">
        <v>239</v>
      </c>
      <c r="I22" s="16">
        <f t="array" ref="I22">IFERROR(INDEX(Timeline!$E$7:$E$15,MATCH(L22,Timeline!$B$7:$B$15,0)),"")</f>
        <v>46332</v>
      </c>
      <c r="J22" s="9" t="s">
        <v>102</v>
      </c>
      <c r="K22" s="27"/>
      <c r="L22" s="7" t="s">
        <v>109</v>
      </c>
    </row>
    <row r="23" ht="88.5" customHeight="1">
      <c r="A23" s="7" t="s">
        <v>240</v>
      </c>
      <c r="B23" s="7" t="str">
        <f t="array" ref="B23">IFERROR(INDEX(Timeline!$C$7:$C$15,MATCH(L23,Timeline!$B$7:$B$15,0)),"")</f>
        <v>Decide soon</v>
      </c>
      <c r="C23" s="7" t="s">
        <v>241</v>
      </c>
      <c r="D23" s="5" t="s">
        <v>242</v>
      </c>
      <c r="E23" s="7" t="s">
        <v>181</v>
      </c>
      <c r="F23" s="7" t="s">
        <v>243</v>
      </c>
      <c r="G23" s="7" t="s">
        <v>244</v>
      </c>
      <c r="H23" s="7" t="s">
        <v>245</v>
      </c>
      <c r="I23" s="16">
        <f t="array" ref="I23">IFERROR(INDEX(Timeline!$E$7:$E$15,MATCH(L23,Timeline!$B$7:$B$15,0)),"")</f>
        <v>46332</v>
      </c>
      <c r="J23" s="9" t="s">
        <v>102</v>
      </c>
      <c r="K23" s="27"/>
      <c r="L23" s="7" t="s">
        <v>109</v>
      </c>
    </row>
    <row r="24" ht="88.5" customHeight="1">
      <c r="A24" s="7" t="s">
        <v>246</v>
      </c>
      <c r="B24" s="7" t="str">
        <f t="array" ref="B24">IFERROR(INDEX(Timeline!$C$7:$C$15,MATCH(L24,Timeline!$B$7:$B$15,0)),"")</f>
        <v>Decide soon</v>
      </c>
      <c r="C24" s="7" t="s">
        <v>208</v>
      </c>
      <c r="D24" s="5" t="s">
        <v>247</v>
      </c>
      <c r="E24" s="7" t="s">
        <v>210</v>
      </c>
      <c r="F24" s="7" t="s">
        <v>248</v>
      </c>
      <c r="G24" s="7" t="s">
        <v>200</v>
      </c>
      <c r="H24" s="7" t="s">
        <v>249</v>
      </c>
      <c r="I24" s="16">
        <f t="array" ref="I24">IFERROR(INDEX(Timeline!$E$7:$E$15,MATCH(L24,Timeline!$B$7:$B$15,0)),"")</f>
        <v>46332</v>
      </c>
      <c r="J24" s="9" t="s">
        <v>102</v>
      </c>
      <c r="K24" s="9"/>
      <c r="L24" s="7" t="s">
        <v>109</v>
      </c>
    </row>
    <row r="25" ht="75.0" customHeight="1">
      <c r="A25" s="7" t="s">
        <v>250</v>
      </c>
      <c r="B25" s="7" t="str">
        <f t="array" ref="B25">IFERROR(INDEX(Timeline!$C$7:$C$15,MATCH(L25,Timeline!$B$7:$B$15,0)),"")</f>
        <v>Decide soon</v>
      </c>
      <c r="C25" s="7" t="s">
        <v>122</v>
      </c>
      <c r="D25" s="5" t="s">
        <v>251</v>
      </c>
      <c r="E25" s="7" t="s">
        <v>84</v>
      </c>
      <c r="F25" s="7" t="s">
        <v>252</v>
      </c>
      <c r="G25" s="7" t="s">
        <v>253</v>
      </c>
      <c r="H25" s="7" t="s">
        <v>254</v>
      </c>
      <c r="I25" s="16">
        <f t="array" ref="I25">IFERROR(INDEX(Timeline!$E$7:$E$15,MATCH(L25,Timeline!$B$7:$B$15,0)),"")</f>
        <v>46332</v>
      </c>
      <c r="J25" s="9" t="s">
        <v>102</v>
      </c>
      <c r="K25" s="9"/>
      <c r="L25" s="7" t="s">
        <v>109</v>
      </c>
    </row>
    <row r="26" ht="88.5" customHeight="1">
      <c r="A26" s="7" t="s">
        <v>255</v>
      </c>
      <c r="B26" s="7" t="str">
        <f t="array" ref="B26">IFERROR(INDEX(Timeline!$C$7:$C$15,MATCH(L26,Timeline!$B$7:$B$15,0)),"")</f>
        <v>Decide soon</v>
      </c>
      <c r="C26" s="7" t="s">
        <v>256</v>
      </c>
      <c r="D26" s="5" t="s">
        <v>257</v>
      </c>
      <c r="E26" s="7" t="s">
        <v>84</v>
      </c>
      <c r="F26" s="7" t="s">
        <v>258</v>
      </c>
      <c r="G26" s="7" t="s">
        <v>259</v>
      </c>
      <c r="H26" s="7" t="s">
        <v>260</v>
      </c>
      <c r="I26" s="16">
        <f t="array" ref="I26">IFERROR(INDEX(Timeline!$E$7:$E$15,MATCH(L26,Timeline!$B$7:$B$15,0)),"")</f>
        <v>46332</v>
      </c>
      <c r="J26" s="9" t="s">
        <v>102</v>
      </c>
      <c r="K26" s="9"/>
      <c r="L26" s="7" t="s">
        <v>109</v>
      </c>
    </row>
    <row r="27" ht="75.0" customHeight="1">
      <c r="A27" s="7" t="s">
        <v>261</v>
      </c>
      <c r="B27" s="7" t="str">
        <f t="array" ref="B27">IFERROR(INDEX(Timeline!$C$7:$C$15,MATCH(L27,Timeline!$B$7:$B$15,0)),"")</f>
        <v>Decide later</v>
      </c>
      <c r="C27" s="7" t="s">
        <v>186</v>
      </c>
      <c r="D27" s="5" t="s">
        <v>262</v>
      </c>
      <c r="E27" s="7" t="s">
        <v>181</v>
      </c>
      <c r="F27" s="7" t="s">
        <v>258</v>
      </c>
      <c r="G27" s="7" t="s">
        <v>200</v>
      </c>
      <c r="H27" s="7" t="s">
        <v>263</v>
      </c>
      <c r="I27" s="16">
        <f t="array" ref="I27">IFERROR(INDEX(Timeline!$E$7:$E$15,MATCH(L27,Timeline!$B$7:$B$15,0)),"")</f>
        <v>46360</v>
      </c>
      <c r="J27" s="9" t="s">
        <v>102</v>
      </c>
      <c r="K27" s="9"/>
      <c r="L27" s="7" t="s">
        <v>111</v>
      </c>
    </row>
    <row r="28" ht="75.0" customHeight="1">
      <c r="A28" s="7" t="s">
        <v>264</v>
      </c>
      <c r="B28" s="7" t="str">
        <f t="array" ref="B28">IFERROR(INDEX(Timeline!$C$7:$C$15,MATCH(L28,Timeline!$B$7:$B$15,0)),"")</f>
        <v>Decide later</v>
      </c>
      <c r="C28" s="7" t="s">
        <v>256</v>
      </c>
      <c r="D28" s="5" t="s">
        <v>265</v>
      </c>
      <c r="E28" s="7" t="s">
        <v>210</v>
      </c>
      <c r="F28" s="7" t="s">
        <v>266</v>
      </c>
      <c r="G28" s="7" t="s">
        <v>267</v>
      </c>
      <c r="H28" s="7" t="s">
        <v>268</v>
      </c>
      <c r="I28" s="16">
        <f t="array" ref="I28">IFERROR(INDEX(Timeline!$E$7:$E$15,MATCH(L28,Timeline!$B$7:$B$15,0)),"")</f>
        <v>46360</v>
      </c>
      <c r="J28" s="9" t="s">
        <v>102</v>
      </c>
      <c r="K28" s="9"/>
      <c r="L28" s="7" t="s">
        <v>111</v>
      </c>
    </row>
    <row r="29" ht="75.0" customHeight="1">
      <c r="A29" s="7" t="s">
        <v>269</v>
      </c>
      <c r="B29" s="7" t="str">
        <f t="array" ref="B29">IFERROR(INDEX(Timeline!$C$7:$C$15,MATCH(L29,Timeline!$B$7:$B$15,0)),"")</f>
        <v>Decide later</v>
      </c>
      <c r="C29" s="7" t="s">
        <v>256</v>
      </c>
      <c r="D29" s="5" t="s">
        <v>270</v>
      </c>
      <c r="E29" s="7" t="s">
        <v>84</v>
      </c>
      <c r="F29" s="7" t="s">
        <v>271</v>
      </c>
      <c r="G29" s="7" t="s">
        <v>272</v>
      </c>
      <c r="H29" s="7" t="s">
        <v>273</v>
      </c>
      <c r="I29" s="16">
        <f t="array" ref="I29">IFERROR(INDEX(Timeline!$E$7:$E$15,MATCH(L29,Timeline!$B$7:$B$15,0)),"")</f>
        <v>46367</v>
      </c>
      <c r="J29" s="9" t="s">
        <v>102</v>
      </c>
      <c r="K29" s="9"/>
      <c r="L29" s="7" t="s">
        <v>115</v>
      </c>
    </row>
    <row r="30" ht="61.5" customHeight="1">
      <c r="A30" s="7" t="s">
        <v>274</v>
      </c>
      <c r="B30" s="7" t="str">
        <f t="array" ref="B30">IFERROR(INDEX(Timeline!$C$7:$C$15,MATCH(L30,Timeline!$B$7:$B$15,0)),"")</f>
        <v>Decide later</v>
      </c>
      <c r="C30" s="7" t="s">
        <v>275</v>
      </c>
      <c r="D30" s="5" t="s">
        <v>276</v>
      </c>
      <c r="E30" s="7" t="s">
        <v>84</v>
      </c>
      <c r="F30" s="7" t="s">
        <v>277</v>
      </c>
      <c r="G30" s="7" t="s">
        <v>278</v>
      </c>
      <c r="H30" s="7" t="s">
        <v>279</v>
      </c>
      <c r="I30" s="16">
        <f t="array" ref="I30">IFERROR(INDEX(Timeline!$E$7:$E$15,MATCH(L30,Timeline!$B$7:$B$15,0)),"")</f>
        <v>46421</v>
      </c>
      <c r="J30" s="9" t="s">
        <v>102</v>
      </c>
      <c r="K30" s="9"/>
      <c r="L30" s="7" t="s">
        <v>120</v>
      </c>
    </row>
    <row r="31" ht="61.5" customHeight="1">
      <c r="A31" s="7" t="s">
        <v>280</v>
      </c>
      <c r="B31" s="7" t="str">
        <f t="array" ref="B31">IFERROR(INDEX(Timeline!$C$7:$C$15,MATCH(L31,Timeline!$B$7:$B$15,0)),"")</f>
        <v>Decide later</v>
      </c>
      <c r="C31" s="7" t="s">
        <v>275</v>
      </c>
      <c r="D31" s="5" t="s">
        <v>281</v>
      </c>
      <c r="E31" s="7" t="s">
        <v>210</v>
      </c>
      <c r="F31" s="7" t="s">
        <v>282</v>
      </c>
      <c r="G31" s="7" t="s">
        <v>283</v>
      </c>
      <c r="H31" s="7" t="s">
        <v>284</v>
      </c>
      <c r="I31" s="16">
        <f t="array" ref="I31">IFERROR(INDEX(Timeline!$E$7:$E$15,MATCH(L31,Timeline!$B$7:$B$15,0)),"")</f>
        <v>46436</v>
      </c>
      <c r="J31" s="9" t="s">
        <v>102</v>
      </c>
      <c r="K31" s="9"/>
      <c r="L31" s="7" t="s">
        <v>126</v>
      </c>
    </row>
    <row r="32" ht="75.0" customHeight="1">
      <c r="A32" s="7" t="s">
        <v>285</v>
      </c>
      <c r="B32" s="7" t="str">
        <f t="array" ref="B32">IFERROR(INDEX(Timeline!$C$7:$C$15,MATCH(L32,Timeline!$B$7:$B$15,0)),"")</f>
        <v>Decide later</v>
      </c>
      <c r="C32" s="7" t="s">
        <v>241</v>
      </c>
      <c r="D32" s="5" t="s">
        <v>286</v>
      </c>
      <c r="E32" s="7" t="s">
        <v>210</v>
      </c>
      <c r="F32" s="7" t="s">
        <v>287</v>
      </c>
      <c r="G32" s="7" t="s">
        <v>288</v>
      </c>
      <c r="H32" s="7" t="s">
        <v>289</v>
      </c>
      <c r="I32" s="16">
        <f t="array" ref="I32">IFERROR(INDEX(Timeline!$E$7:$E$15,MATCH(L32,Timeline!$B$7:$B$15,0)),"")</f>
        <v>46436</v>
      </c>
      <c r="J32" s="9" t="s">
        <v>102</v>
      </c>
      <c r="K32" s="9"/>
      <c r="L32" s="7" t="s">
        <v>126</v>
      </c>
    </row>
    <row r="33" ht="61.5" customHeight="1">
      <c r="A33" s="7" t="s">
        <v>290</v>
      </c>
      <c r="B33" s="7" t="str">
        <f t="array" ref="B33">IFERROR(INDEX(Timeline!$C$7:$C$15,MATCH(L33,Timeline!$B$7:$B$15,0)),"")</f>
        <v>Decide later</v>
      </c>
      <c r="C33" s="7" t="s">
        <v>291</v>
      </c>
      <c r="D33" s="5" t="s">
        <v>292</v>
      </c>
      <c r="E33" s="7" t="s">
        <v>84</v>
      </c>
      <c r="F33" s="7" t="s">
        <v>293</v>
      </c>
      <c r="G33" s="7" t="s">
        <v>200</v>
      </c>
      <c r="H33" s="7" t="s">
        <v>294</v>
      </c>
      <c r="I33" s="16">
        <f t="array" ref="I33">IFERROR(INDEX(Timeline!$E$7:$E$15,MATCH(L33,Timeline!$B$7:$B$15,0)),"")</f>
        <v>46436</v>
      </c>
      <c r="J33" s="9" t="s">
        <v>102</v>
      </c>
      <c r="K33" s="9"/>
      <c r="L33" s="7" t="s">
        <v>126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K$33"/>
  <conditionalFormatting sqref="B2:B33">
    <cfRule type="cellIs" dxfId="0" priority="1" operator="equal">
      <formula>"Decide now"</formula>
    </cfRule>
  </conditionalFormatting>
  <conditionalFormatting sqref="B2:B33">
    <cfRule type="cellIs" dxfId="1" priority="2" operator="equal">
      <formula>"Decide soon"</formula>
    </cfRule>
  </conditionalFormatting>
  <conditionalFormatting sqref="B2:B33">
    <cfRule type="cellIs" dxfId="2" priority="3" operator="equal">
      <formula>"Decide later"</formula>
    </cfRule>
  </conditionalFormatting>
  <conditionalFormatting sqref="J2:J33">
    <cfRule type="cellIs" dxfId="3" priority="4" operator="equal">
      <formula>"Awaiting Giant"</formula>
    </cfRule>
  </conditionalFormatting>
  <conditionalFormatting sqref="J2:J33">
    <cfRule type="cellIs" dxfId="4" priority="5" operator="equal">
      <formula>"In discussion"</formula>
    </cfRule>
  </conditionalFormatting>
  <conditionalFormatting sqref="J2:J33">
    <cfRule type="cellIs" dxfId="5" priority="6" operator="equal">
      <formula>"Confirmed"</formula>
    </cfRule>
  </conditionalFormatting>
  <conditionalFormatting sqref="J2:J33">
    <cfRule type="cellIs" dxfId="6" priority="7" operator="equal">
      <formula>"Changed"</formula>
    </cfRule>
  </conditionalFormatting>
  <conditionalFormatting sqref="J2:J33">
    <cfRule type="cellIs" dxfId="7" priority="8" operator="equal">
      <formula>"Deferred"</formula>
    </cfRule>
  </conditionalFormatting>
  <conditionalFormatting sqref="I2:I33">
    <cfRule type="expression" dxfId="8" priority="9">
      <formula>AND(ISNUMBER($I2),$I2-TODAY()&lt;=7,OR($J2="Awaiting Giant",$J2="In discussion"))</formula>
    </cfRule>
  </conditionalFormatting>
  <dataValidations>
    <dataValidation type="list" allowBlank="1" sqref="E2:E6 E8:E33">
      <formula1>"Be Giant,Field Office (devs),August (design/strategy)"</formula1>
    </dataValidation>
    <dataValidation type="list" allowBlank="1" sqref="L2:L6 L8:L33">
      <formula1>Timeline!$B$7:$B$15</formula1>
    </dataValidation>
    <dataValidation type="list" allowBlank="1" sqref="J2:J6 J8:J33">
      <formula1>"Awaiting Giant,In discussion,Confirmed,Changed,Deferred"</formula1>
    </dataValidation>
  </dataValidation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4.0"/>
    <col customWidth="1" min="3" max="3" width="14.0"/>
    <col customWidth="1" min="4" max="4" width="16.0"/>
    <col customWidth="1" min="5" max="5" width="18.0"/>
    <col customWidth="1" min="6" max="6" width="70.0"/>
    <col customWidth="1" min="7" max="7" width="22.0"/>
    <col customWidth="1" min="8" max="26" width="8.71"/>
  </cols>
  <sheetData>
    <row r="1">
      <c r="B1" s="1" t="s">
        <v>0</v>
      </c>
    </row>
    <row r="3">
      <c r="B3" s="3" t="s">
        <v>4</v>
      </c>
      <c r="E3" s="4">
        <v>46391.0</v>
      </c>
      <c r="F3" s="6" t="s">
        <v>24</v>
      </c>
    </row>
    <row r="4">
      <c r="B4" s="3" t="s">
        <v>26</v>
      </c>
      <c r="E4" s="4"/>
      <c r="F4" s="6" t="str">
        <f>IF(E4="","Add the campaign date to check the gap.",IF(E4-E3&gt;=14,"Launch lands "&amp;(E4-E3)&amp;" days before the campaign.","Launch lands only "&amp;(E4-E3)&amp;" days before the campaign. Aim for 14 or more."))</f>
        <v>Add the campaign date to check the gap.</v>
      </c>
    </row>
    <row r="6" ht="21.75" customHeight="1">
      <c r="A6" s="2" t="s">
        <v>73</v>
      </c>
      <c r="B6" s="2" t="s">
        <v>22</v>
      </c>
      <c r="C6" s="2" t="s">
        <v>5</v>
      </c>
      <c r="D6" s="2" t="s">
        <v>80</v>
      </c>
      <c r="E6" s="2" t="s">
        <v>81</v>
      </c>
      <c r="F6" s="2" t="s">
        <v>82</v>
      </c>
      <c r="G6" s="2" t="s">
        <v>83</v>
      </c>
    </row>
    <row r="7" ht="31.5" customHeight="1">
      <c r="A7" s="7">
        <v>1.0</v>
      </c>
      <c r="B7" s="5" t="s">
        <v>85</v>
      </c>
      <c r="C7" s="14" t="s">
        <v>87</v>
      </c>
      <c r="D7" s="15">
        <v>-96.0</v>
      </c>
      <c r="E7" s="16">
        <f t="shared" ref="E7:E15" si="1">$E$3+D7</f>
        <v>46295</v>
      </c>
      <c r="F7" s="7" t="s">
        <v>94</v>
      </c>
      <c r="G7" s="7" t="s">
        <v>95</v>
      </c>
    </row>
    <row r="8" ht="31.5" customHeight="1">
      <c r="A8" s="7">
        <v>2.0</v>
      </c>
      <c r="B8" s="5" t="s">
        <v>96</v>
      </c>
      <c r="C8" s="14" t="s">
        <v>87</v>
      </c>
      <c r="D8" s="15">
        <v>-87.0</v>
      </c>
      <c r="E8" s="16">
        <f t="shared" si="1"/>
        <v>46304</v>
      </c>
      <c r="F8" s="7" t="s">
        <v>97</v>
      </c>
      <c r="G8" s="7" t="s">
        <v>98</v>
      </c>
    </row>
    <row r="9" ht="31.5" customHeight="1">
      <c r="A9" s="7">
        <v>3.0</v>
      </c>
      <c r="B9" s="5" t="s">
        <v>99</v>
      </c>
      <c r="C9" s="19" t="s">
        <v>101</v>
      </c>
      <c r="D9" s="15">
        <v>-73.0</v>
      </c>
      <c r="E9" s="16">
        <f t="shared" si="1"/>
        <v>46318</v>
      </c>
      <c r="F9" s="7" t="s">
        <v>106</v>
      </c>
      <c r="G9" s="7" t="s">
        <v>107</v>
      </c>
    </row>
    <row r="10" ht="31.5" customHeight="1">
      <c r="A10" s="7">
        <v>4.0</v>
      </c>
      <c r="B10" s="5" t="s">
        <v>109</v>
      </c>
      <c r="C10" s="19" t="s">
        <v>101</v>
      </c>
      <c r="D10" s="15">
        <v>-59.0</v>
      </c>
      <c r="E10" s="16">
        <f t="shared" si="1"/>
        <v>46332</v>
      </c>
      <c r="F10" s="7" t="s">
        <v>110</v>
      </c>
      <c r="G10" s="7" t="s">
        <v>98</v>
      </c>
    </row>
    <row r="11" ht="31.5" customHeight="1">
      <c r="A11" s="7">
        <v>5.0</v>
      </c>
      <c r="B11" s="5" t="s">
        <v>111</v>
      </c>
      <c r="C11" s="21" t="s">
        <v>112</v>
      </c>
      <c r="D11" s="15">
        <v>-31.0</v>
      </c>
      <c r="E11" s="16">
        <f t="shared" si="1"/>
        <v>46360</v>
      </c>
      <c r="F11" s="7" t="s">
        <v>113</v>
      </c>
      <c r="G11" s="7" t="s">
        <v>114</v>
      </c>
    </row>
    <row r="12" ht="31.5" customHeight="1">
      <c r="A12" s="7">
        <v>6.0</v>
      </c>
      <c r="B12" s="5" t="s">
        <v>115</v>
      </c>
      <c r="C12" s="21" t="s">
        <v>112</v>
      </c>
      <c r="D12" s="15">
        <v>-24.0</v>
      </c>
      <c r="E12" s="16">
        <f t="shared" si="1"/>
        <v>46367</v>
      </c>
      <c r="F12" s="7" t="s">
        <v>116</v>
      </c>
      <c r="G12" s="7" t="s">
        <v>117</v>
      </c>
    </row>
    <row r="13" ht="31.5" customHeight="1">
      <c r="A13" s="7">
        <v>7.0</v>
      </c>
      <c r="B13" s="5" t="s">
        <v>118</v>
      </c>
      <c r="C13" s="21" t="s">
        <v>112</v>
      </c>
      <c r="D13" s="15">
        <v>0.0</v>
      </c>
      <c r="E13" s="16">
        <f t="shared" si="1"/>
        <v>46391</v>
      </c>
      <c r="F13" s="7" t="s">
        <v>119</v>
      </c>
      <c r="G13" s="7" t="s">
        <v>95</v>
      </c>
    </row>
    <row r="14" ht="31.5" customHeight="1">
      <c r="A14" s="7">
        <v>8.0</v>
      </c>
      <c r="B14" s="5" t="s">
        <v>120</v>
      </c>
      <c r="C14" s="21" t="s">
        <v>112</v>
      </c>
      <c r="D14" s="15">
        <v>30.0</v>
      </c>
      <c r="E14" s="16">
        <f t="shared" si="1"/>
        <v>46421</v>
      </c>
      <c r="F14" s="7" t="s">
        <v>124</v>
      </c>
      <c r="G14" s="7" t="s">
        <v>125</v>
      </c>
    </row>
    <row r="15" ht="31.5" customHeight="1">
      <c r="A15" s="7">
        <v>9.0</v>
      </c>
      <c r="B15" s="5" t="s">
        <v>126</v>
      </c>
      <c r="C15" s="21" t="s">
        <v>112</v>
      </c>
      <c r="D15" s="15">
        <v>45.0</v>
      </c>
      <c r="E15" s="16">
        <f t="shared" si="1"/>
        <v>46436</v>
      </c>
      <c r="F15" s="7" t="s">
        <v>130</v>
      </c>
      <c r="G15" s="7" t="s">
        <v>125</v>
      </c>
    </row>
    <row r="17">
      <c r="B17" s="6" t="s">
        <v>131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6.0"/>
    <col customWidth="1" min="2" max="2" width="34.0"/>
    <col customWidth="1" min="3" max="3" width="48.0"/>
    <col customWidth="1" min="4" max="4" width="28.0"/>
    <col customWidth="1" min="5" max="5" width="18.0"/>
    <col customWidth="1" min="6" max="6" width="34.0"/>
    <col customWidth="1" min="7" max="7" width="14.0"/>
    <col customWidth="1" min="8" max="26" width="8.71"/>
  </cols>
  <sheetData>
    <row r="1" ht="21.75" customHeight="1">
      <c r="A1" s="2" t="s">
        <v>3</v>
      </c>
      <c r="B1" s="2" t="s">
        <v>12</v>
      </c>
      <c r="C1" s="2" t="s">
        <v>13</v>
      </c>
      <c r="D1" s="2" t="s">
        <v>14</v>
      </c>
      <c r="E1" s="2" t="s">
        <v>15</v>
      </c>
      <c r="F1" s="2" t="s">
        <v>16</v>
      </c>
      <c r="G1" s="2" t="s">
        <v>18</v>
      </c>
    </row>
    <row r="2" ht="34.5" customHeight="1">
      <c r="A2" s="5" t="s">
        <v>21</v>
      </c>
      <c r="B2" s="7" t="s">
        <v>25</v>
      </c>
      <c r="C2" s="7" t="s">
        <v>27</v>
      </c>
      <c r="D2" s="7" t="s">
        <v>28</v>
      </c>
      <c r="E2" s="7" t="s">
        <v>29</v>
      </c>
      <c r="F2" s="7" t="s">
        <v>30</v>
      </c>
      <c r="G2" s="9" t="s">
        <v>31</v>
      </c>
    </row>
    <row r="3" ht="34.5" customHeight="1">
      <c r="A3" s="5" t="s">
        <v>32</v>
      </c>
      <c r="B3" s="7" t="s">
        <v>33</v>
      </c>
      <c r="C3" s="7" t="s">
        <v>34</v>
      </c>
      <c r="D3" s="7" t="s">
        <v>35</v>
      </c>
      <c r="E3" s="7" t="s">
        <v>36</v>
      </c>
      <c r="F3" s="7" t="s">
        <v>37</v>
      </c>
      <c r="G3" s="9" t="s">
        <v>31</v>
      </c>
    </row>
    <row r="4" ht="48.0" customHeight="1">
      <c r="A4" s="5" t="s">
        <v>38</v>
      </c>
      <c r="B4" s="7" t="s">
        <v>39</v>
      </c>
      <c r="C4" s="7" t="s">
        <v>41</v>
      </c>
      <c r="D4" s="7" t="s">
        <v>42</v>
      </c>
      <c r="E4" s="7" t="s">
        <v>43</v>
      </c>
      <c r="F4" s="7" t="s">
        <v>37</v>
      </c>
      <c r="G4" s="9" t="s">
        <v>31</v>
      </c>
    </row>
    <row r="5" ht="34.5" customHeight="1">
      <c r="A5" s="5" t="s">
        <v>44</v>
      </c>
      <c r="B5" s="7" t="s">
        <v>45</v>
      </c>
      <c r="C5" s="7" t="s">
        <v>46</v>
      </c>
      <c r="D5" s="7" t="s">
        <v>48</v>
      </c>
      <c r="E5" s="7" t="s">
        <v>36</v>
      </c>
      <c r="F5" s="7" t="s">
        <v>37</v>
      </c>
      <c r="G5" s="9" t="s">
        <v>31</v>
      </c>
    </row>
    <row r="6" ht="34.5" customHeight="1">
      <c r="A6" s="5" t="s">
        <v>50</v>
      </c>
      <c r="B6" s="7" t="s">
        <v>51</v>
      </c>
      <c r="C6" s="7" t="s">
        <v>52</v>
      </c>
      <c r="D6" s="7" t="s">
        <v>53</v>
      </c>
      <c r="E6" s="7" t="s">
        <v>36</v>
      </c>
      <c r="F6" s="7" t="s">
        <v>54</v>
      </c>
      <c r="G6" s="9" t="s">
        <v>31</v>
      </c>
    </row>
    <row r="7" ht="34.5" customHeight="1">
      <c r="A7" s="5" t="s">
        <v>55</v>
      </c>
      <c r="B7" s="7" t="s">
        <v>56</v>
      </c>
      <c r="C7" s="7" t="s">
        <v>58</v>
      </c>
      <c r="D7" s="7" t="s">
        <v>59</v>
      </c>
      <c r="E7" s="7" t="s">
        <v>36</v>
      </c>
      <c r="F7" s="7" t="s">
        <v>37</v>
      </c>
      <c r="G7" s="9" t="s">
        <v>31</v>
      </c>
    </row>
    <row r="8" ht="34.5" customHeight="1">
      <c r="A8" s="5" t="s">
        <v>61</v>
      </c>
      <c r="B8" s="7" t="s">
        <v>63</v>
      </c>
      <c r="C8" s="7" t="s">
        <v>64</v>
      </c>
      <c r="D8" s="7" t="s">
        <v>53</v>
      </c>
      <c r="E8" s="7" t="s">
        <v>43</v>
      </c>
      <c r="F8" s="7" t="s">
        <v>65</v>
      </c>
      <c r="G8" s="9" t="s">
        <v>31</v>
      </c>
    </row>
    <row r="9" ht="34.5" customHeight="1">
      <c r="A9" s="5" t="s">
        <v>66</v>
      </c>
      <c r="B9" s="7" t="s">
        <v>67</v>
      </c>
      <c r="C9" s="7" t="s">
        <v>68</v>
      </c>
      <c r="D9" s="7" t="s">
        <v>53</v>
      </c>
      <c r="E9" s="7" t="s">
        <v>69</v>
      </c>
      <c r="F9" s="7" t="s">
        <v>71</v>
      </c>
      <c r="G9" s="9" t="s">
        <v>72</v>
      </c>
    </row>
    <row r="10" ht="48.0" customHeight="1">
      <c r="A10" s="5" t="s">
        <v>74</v>
      </c>
      <c r="B10" s="7" t="s">
        <v>75</v>
      </c>
      <c r="C10" s="7" t="s">
        <v>76</v>
      </c>
      <c r="D10" s="7" t="s">
        <v>53</v>
      </c>
      <c r="E10" s="7" t="s">
        <v>36</v>
      </c>
      <c r="F10" s="7" t="s">
        <v>78</v>
      </c>
      <c r="G10" s="9"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